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xia\Python\Saguaro_Petroleum_Well_Production_Management\backend\megadata\"/>
    </mc:Choice>
  </mc:AlternateContent>
  <xr:revisionPtr revIDLastSave="0" documentId="13_ncr:1_{C943AC0A-152B-417F-B1A1-27AF854ADB37}" xr6:coauthVersionLast="47" xr6:coauthVersionMax="47" xr10:uidLastSave="{00000000-0000-0000-0000-000000000000}"/>
  <bookViews>
    <workbookView xWindow="14310" yWindow="0" windowWidth="14580" windowHeight="17370" xr2:uid="{A0A74406-5AD6-430F-B3D8-A5577271F83F}"/>
  </bookViews>
  <sheets>
    <sheet name="2.5 Miles Radiu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399" i="1" l="1"/>
  <c r="AI398" i="1"/>
  <c r="AI397" i="1"/>
  <c r="AI395" i="1"/>
  <c r="AI392" i="1"/>
  <c r="AI391" i="1"/>
  <c r="AI390" i="1"/>
  <c r="AI389" i="1"/>
  <c r="AI388" i="1"/>
  <c r="AI386" i="1"/>
  <c r="AI385" i="1"/>
  <c r="AI384" i="1"/>
  <c r="AI383" i="1"/>
  <c r="AI377" i="1"/>
  <c r="AI376" i="1"/>
  <c r="AI375" i="1"/>
  <c r="AI371" i="1"/>
  <c r="AI368" i="1"/>
  <c r="AI367" i="1"/>
  <c r="AI366" i="1"/>
  <c r="AI365" i="1"/>
  <c r="AI364" i="1"/>
  <c r="AI363" i="1"/>
  <c r="AI362" i="1"/>
  <c r="AI359" i="1"/>
  <c r="AI354" i="1"/>
  <c r="AI347" i="1"/>
  <c r="AI346" i="1"/>
  <c r="AI345" i="1"/>
  <c r="AI344" i="1"/>
  <c r="AI343" i="1"/>
  <c r="AI341" i="1"/>
  <c r="AI340" i="1"/>
  <c r="AI338" i="1"/>
  <c r="AI326" i="1"/>
  <c r="AI325" i="1"/>
  <c r="AI324" i="1"/>
  <c r="AI323" i="1"/>
  <c r="AI321" i="1"/>
  <c r="AI320" i="1"/>
  <c r="AI319" i="1"/>
  <c r="AI318" i="1"/>
  <c r="AI313" i="1"/>
  <c r="AI311" i="1"/>
  <c r="AI306" i="1"/>
  <c r="AI305" i="1"/>
  <c r="AI304" i="1"/>
  <c r="AI301" i="1"/>
  <c r="AI300" i="1"/>
  <c r="AI299" i="1"/>
  <c r="AI298" i="1"/>
  <c r="AI297" i="1"/>
  <c r="AI296" i="1"/>
  <c r="AI293" i="1"/>
  <c r="AI291" i="1"/>
  <c r="AI290" i="1"/>
  <c r="AI288" i="1"/>
  <c r="AI287" i="1"/>
  <c r="AI284" i="1"/>
  <c r="AI282" i="1"/>
  <c r="AI280" i="1"/>
  <c r="AI279" i="1"/>
  <c r="AI278" i="1"/>
  <c r="AI277" i="1"/>
  <c r="AI276" i="1"/>
  <c r="AI275" i="1"/>
  <c r="AI274" i="1"/>
  <c r="AI273" i="1"/>
  <c r="AI272" i="1"/>
  <c r="AI271" i="1"/>
  <c r="AI270" i="1"/>
  <c r="AI269" i="1"/>
  <c r="AI268" i="1"/>
  <c r="AI267" i="1"/>
  <c r="AI266" i="1"/>
  <c r="AI265" i="1"/>
  <c r="AI264" i="1"/>
  <c r="AI263" i="1"/>
  <c r="AI262" i="1"/>
  <c r="AI261" i="1"/>
  <c r="AI259" i="1"/>
  <c r="AI258" i="1"/>
  <c r="AI257" i="1"/>
  <c r="AI256" i="1"/>
  <c r="AI254" i="1"/>
  <c r="AI253" i="1"/>
  <c r="AI252" i="1"/>
  <c r="AI251" i="1"/>
  <c r="AI250" i="1"/>
  <c r="AI243" i="1"/>
  <c r="AI237" i="1"/>
  <c r="AI236" i="1"/>
  <c r="AI235" i="1"/>
  <c r="AI234" i="1"/>
  <c r="AI233" i="1"/>
  <c r="AI231" i="1"/>
  <c r="AI230" i="1"/>
  <c r="AI228" i="1"/>
  <c r="AI224" i="1"/>
  <c r="AI217" i="1"/>
  <c r="AI216" i="1"/>
  <c r="AI215" i="1"/>
  <c r="AI214" i="1"/>
  <c r="AI213" i="1"/>
  <c r="AI212" i="1"/>
  <c r="AI211" i="1"/>
  <c r="AI210" i="1"/>
  <c r="AI209" i="1"/>
  <c r="AI208" i="1"/>
  <c r="AI203" i="1"/>
  <c r="AI199" i="1"/>
  <c r="AI196" i="1"/>
  <c r="AI195" i="1"/>
  <c r="AI194" i="1"/>
  <c r="AI193" i="1"/>
  <c r="AI190" i="1"/>
  <c r="AI189" i="1"/>
  <c r="AI188" i="1"/>
  <c r="AI187" i="1"/>
  <c r="AI186" i="1"/>
  <c r="AI184" i="1"/>
  <c r="AI181" i="1"/>
  <c r="AI180" i="1"/>
  <c r="AI174" i="1"/>
  <c r="AI173" i="1"/>
  <c r="AI172" i="1"/>
  <c r="AI171" i="1"/>
  <c r="AI168" i="1"/>
  <c r="AI167" i="1"/>
  <c r="AI166" i="1"/>
  <c r="AI165" i="1"/>
  <c r="AI164" i="1"/>
  <c r="AI159" i="1"/>
  <c r="AI158" i="1"/>
  <c r="AI156" i="1"/>
  <c r="AI154" i="1"/>
  <c r="AI151" i="1"/>
  <c r="AI150" i="1"/>
  <c r="AI149" i="1"/>
  <c r="AI148" i="1"/>
  <c r="AI146" i="1"/>
  <c r="AI145" i="1"/>
  <c r="AI144" i="1"/>
  <c r="AI143" i="1"/>
  <c r="AI142" i="1"/>
  <c r="AI138" i="1"/>
  <c r="AI137" i="1"/>
  <c r="AI136" i="1"/>
  <c r="AI134" i="1"/>
  <c r="AI133" i="1"/>
  <c r="AI129" i="1"/>
  <c r="AI128" i="1"/>
  <c r="AI127" i="1"/>
  <c r="AI126" i="1"/>
  <c r="AI125" i="1"/>
  <c r="AI124" i="1"/>
  <c r="AI123" i="1"/>
  <c r="AI122" i="1"/>
  <c r="AI121" i="1"/>
  <c r="AI120" i="1"/>
  <c r="AI119" i="1"/>
  <c r="AI114" i="1"/>
  <c r="AI113" i="1"/>
  <c r="AI110" i="1"/>
  <c r="AI109" i="1"/>
  <c r="AI107" i="1"/>
  <c r="AI106" i="1"/>
  <c r="AI105" i="1"/>
  <c r="AI103" i="1"/>
  <c r="AI102" i="1"/>
  <c r="AI101" i="1"/>
  <c r="AI100" i="1"/>
  <c r="AI99" i="1"/>
  <c r="AI98" i="1"/>
  <c r="AI97" i="1"/>
  <c r="AI92" i="1"/>
  <c r="AI88" i="1"/>
  <c r="AI87" i="1"/>
  <c r="AI86" i="1"/>
  <c r="AI85" i="1"/>
  <c r="AI84" i="1"/>
  <c r="AI83" i="1"/>
  <c r="AI81" i="1"/>
  <c r="AI80" i="1"/>
  <c r="AI79" i="1"/>
  <c r="AI78" i="1"/>
  <c r="AI77" i="1"/>
  <c r="AI76" i="1"/>
  <c r="AI75" i="1"/>
  <c r="AI73" i="1"/>
  <c r="AI72" i="1"/>
  <c r="AI70" i="1"/>
  <c r="AI63" i="1"/>
  <c r="AI62" i="1"/>
  <c r="AI61" i="1"/>
  <c r="AI60" i="1"/>
  <c r="AI58" i="1"/>
  <c r="AI57" i="1"/>
  <c r="AI56" i="1"/>
  <c r="AI55" i="1"/>
  <c r="AI54" i="1"/>
  <c r="AI52" i="1"/>
  <c r="AI51" i="1"/>
  <c r="AI49" i="1"/>
  <c r="AI48" i="1"/>
  <c r="AI47" i="1"/>
  <c r="AI46" i="1"/>
  <c r="AI41" i="1"/>
  <c r="AI40" i="1"/>
  <c r="AI39" i="1"/>
  <c r="AI37" i="1"/>
  <c r="AI36" i="1"/>
  <c r="AI35" i="1"/>
  <c r="AI34" i="1"/>
  <c r="AI33" i="1"/>
  <c r="AI32" i="1"/>
  <c r="AI31" i="1"/>
  <c r="AI27" i="1"/>
  <c r="AI26" i="1"/>
  <c r="AI19" i="1"/>
  <c r="AI18" i="1"/>
  <c r="AI17" i="1"/>
  <c r="AI16" i="1"/>
  <c r="AI14" i="1"/>
  <c r="AI13" i="1"/>
  <c r="AI12" i="1"/>
  <c r="AI11" i="1"/>
  <c r="AI10" i="1"/>
  <c r="AI6" i="1"/>
  <c r="AI5" i="1"/>
  <c r="AI4" i="1"/>
  <c r="AI3" i="1"/>
  <c r="AI2" i="1"/>
  <c r="B3" i="1"/>
  <c r="B4" i="1"/>
  <c r="B5" i="1"/>
  <c r="B6" i="1"/>
  <c r="B9" i="1"/>
  <c r="B10" i="1"/>
  <c r="B11" i="1"/>
  <c r="B12" i="1"/>
  <c r="B13" i="1"/>
  <c r="B14" i="1"/>
  <c r="B15" i="1"/>
  <c r="B16" i="1"/>
  <c r="B17" i="1"/>
  <c r="B19" i="1"/>
  <c r="B26" i="1"/>
  <c r="B27" i="1"/>
  <c r="B31" i="1"/>
  <c r="B32" i="1"/>
  <c r="B33" i="1"/>
  <c r="B34" i="1"/>
  <c r="B35" i="1"/>
  <c r="B36" i="1"/>
  <c r="B37" i="1"/>
  <c r="B41" i="1"/>
  <c r="B46" i="1"/>
  <c r="B47" i="1"/>
  <c r="B48" i="1"/>
  <c r="B49" i="1"/>
  <c r="B51" i="1"/>
  <c r="B52" i="1"/>
  <c r="B53" i="1"/>
  <c r="B54" i="1"/>
  <c r="B55" i="1"/>
  <c r="B56" i="1"/>
  <c r="B57" i="1"/>
  <c r="B58" i="1"/>
  <c r="B59" i="1"/>
  <c r="B60" i="1"/>
  <c r="B61" i="1"/>
  <c r="B63" i="1"/>
  <c r="B70" i="1"/>
  <c r="B71" i="1"/>
  <c r="B72" i="1"/>
  <c r="B73" i="1"/>
  <c r="B75" i="1"/>
  <c r="B76" i="1"/>
  <c r="B77" i="1"/>
  <c r="B78" i="1"/>
  <c r="B79" i="1"/>
  <c r="B80" i="1"/>
  <c r="B81" i="1"/>
  <c r="B83" i="1"/>
  <c r="B84" i="1"/>
  <c r="B85" i="1"/>
  <c r="B86" i="1"/>
  <c r="B87" i="1"/>
  <c r="B88" i="1"/>
  <c r="B92" i="1"/>
  <c r="B93" i="1"/>
  <c r="B97" i="1"/>
  <c r="B98" i="1"/>
  <c r="B99" i="1"/>
  <c r="B100" i="1"/>
  <c r="B101" i="1"/>
  <c r="B102" i="1"/>
  <c r="B103" i="1"/>
  <c r="B105" i="1"/>
  <c r="B106" i="1"/>
  <c r="B107" i="1"/>
  <c r="B109" i="1"/>
  <c r="B110" i="1"/>
  <c r="B113" i="1"/>
  <c r="B114" i="1"/>
  <c r="B115" i="1"/>
  <c r="B119" i="1"/>
  <c r="B120" i="1"/>
  <c r="B121" i="1"/>
  <c r="B122" i="1"/>
  <c r="B123" i="1"/>
  <c r="B124" i="1"/>
  <c r="B125" i="1"/>
  <c r="B126" i="1"/>
  <c r="B129" i="1"/>
  <c r="B133" i="1"/>
  <c r="B134" i="1"/>
  <c r="B136" i="1"/>
  <c r="B137" i="1"/>
  <c r="B138" i="1"/>
  <c r="B141" i="1"/>
  <c r="B142" i="1"/>
  <c r="B143" i="1"/>
  <c r="B144" i="1"/>
  <c r="B145" i="1"/>
  <c r="B146" i="1"/>
  <c r="B147" i="1"/>
  <c r="B148" i="1"/>
  <c r="B151" i="1"/>
  <c r="B154" i="1"/>
  <c r="B156" i="1"/>
  <c r="B158" i="1"/>
  <c r="B159" i="1"/>
  <c r="B164" i="1"/>
  <c r="B165" i="1"/>
  <c r="B166" i="1"/>
  <c r="B167" i="1"/>
  <c r="B168" i="1"/>
  <c r="B169" i="1"/>
  <c r="B173" i="1"/>
  <c r="B174" i="1"/>
  <c r="B181" i="1"/>
  <c r="B184" i="1"/>
  <c r="B186" i="1"/>
  <c r="B187" i="1"/>
  <c r="B188" i="1"/>
  <c r="B189" i="1"/>
  <c r="B190" i="1"/>
  <c r="B191" i="1"/>
  <c r="B195" i="1"/>
  <c r="B196" i="1"/>
  <c r="B199" i="1"/>
  <c r="B203" i="1"/>
  <c r="B204" i="1"/>
  <c r="B208" i="1"/>
  <c r="B209" i="1"/>
  <c r="B210" i="1"/>
  <c r="B211" i="1"/>
  <c r="B212" i="1"/>
  <c r="B213" i="1"/>
  <c r="B214" i="1"/>
  <c r="B215" i="1"/>
  <c r="B216" i="1"/>
  <c r="B217" i="1"/>
  <c r="B224" i="1"/>
  <c r="B226" i="1"/>
  <c r="B227" i="1"/>
  <c r="B228" i="1"/>
  <c r="B229" i="1"/>
  <c r="B230" i="1"/>
  <c r="B233" i="1"/>
  <c r="B234" i="1"/>
  <c r="B235" i="1"/>
  <c r="B236" i="1"/>
  <c r="B243" i="1"/>
  <c r="B249" i="1"/>
  <c r="B250" i="1"/>
  <c r="B251" i="1"/>
  <c r="B252" i="1"/>
  <c r="B253" i="1"/>
  <c r="B256" i="1"/>
  <c r="B257" i="1"/>
  <c r="B258" i="1"/>
  <c r="B259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7" i="1"/>
  <c r="B288" i="1"/>
  <c r="B290" i="1"/>
  <c r="B291" i="1"/>
  <c r="B293" i="1"/>
  <c r="B297" i="1"/>
  <c r="B298" i="1"/>
  <c r="B299" i="1"/>
  <c r="B300" i="1"/>
  <c r="B301" i="1"/>
  <c r="B304" i="1"/>
  <c r="B305" i="1"/>
  <c r="B306" i="1"/>
  <c r="B307" i="1"/>
  <c r="B311" i="1"/>
  <c r="B312" i="1"/>
  <c r="B313" i="1"/>
  <c r="B319" i="1"/>
  <c r="B320" i="1"/>
  <c r="B323" i="1"/>
  <c r="B324" i="1"/>
  <c r="B325" i="1"/>
  <c r="B326" i="1"/>
  <c r="B327" i="1"/>
  <c r="B328" i="1"/>
  <c r="B331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64" i="1"/>
  <c r="B365" i="1"/>
  <c r="B366" i="1"/>
  <c r="B367" i="1"/>
  <c r="B368" i="1"/>
  <c r="B369" i="1"/>
  <c r="B370" i="1"/>
  <c r="B371" i="1"/>
  <c r="B372" i="1"/>
  <c r="B374" i="1"/>
  <c r="B375" i="1"/>
  <c r="B376" i="1"/>
  <c r="B377" i="1"/>
  <c r="B383" i="1"/>
  <c r="B388" i="1"/>
  <c r="B391" i="1"/>
  <c r="B392" i="1"/>
  <c r="B393" i="1"/>
  <c r="B395" i="1"/>
  <c r="B397" i="1"/>
  <c r="B398" i="1"/>
  <c r="B399" i="1"/>
  <c r="B2" i="1"/>
  <c r="I2" i="1"/>
  <c r="K2" i="1"/>
  <c r="I3" i="1"/>
  <c r="K3" i="1"/>
  <c r="I4" i="1"/>
  <c r="K4" i="1"/>
  <c r="I5" i="1"/>
  <c r="K5" i="1"/>
  <c r="AC5" i="1"/>
  <c r="I6" i="1"/>
  <c r="K6" i="1"/>
  <c r="AC6" i="1"/>
  <c r="I7" i="1"/>
  <c r="K7" i="1"/>
  <c r="AB7" i="1"/>
  <c r="AI7" i="1" s="1"/>
  <c r="I8" i="1"/>
  <c r="K8" i="1"/>
  <c r="AB8" i="1"/>
  <c r="B8" i="1" s="1"/>
  <c r="I9" i="1"/>
  <c r="K9" i="1"/>
  <c r="AB9" i="1"/>
  <c r="AI9" i="1" s="1"/>
  <c r="I10" i="1"/>
  <c r="K10" i="1"/>
  <c r="AC10" i="1"/>
  <c r="I11" i="1"/>
  <c r="K11" i="1"/>
  <c r="AB11" i="1"/>
  <c r="I12" i="1"/>
  <c r="K12" i="1"/>
  <c r="AB12" i="1"/>
  <c r="I13" i="1"/>
  <c r="K13" i="1"/>
  <c r="AC13" i="1"/>
  <c r="I14" i="1"/>
  <c r="K14" i="1"/>
  <c r="AB14" i="1"/>
  <c r="I15" i="1"/>
  <c r="K15" i="1"/>
  <c r="AB15" i="1"/>
  <c r="AI15" i="1" s="1"/>
  <c r="I16" i="1"/>
  <c r="K16" i="1"/>
  <c r="AC16" i="1"/>
  <c r="I17" i="1"/>
  <c r="K17" i="1"/>
  <c r="AC17" i="1"/>
  <c r="I18" i="1"/>
  <c r="K18" i="1"/>
  <c r="AB18" i="1"/>
  <c r="B18" i="1" s="1"/>
  <c r="I19" i="1"/>
  <c r="K19" i="1"/>
  <c r="AB19" i="1"/>
  <c r="I20" i="1"/>
  <c r="K20" i="1"/>
  <c r="AB20" i="1"/>
  <c r="AI20" i="1" s="1"/>
  <c r="I21" i="1"/>
  <c r="K21" i="1"/>
  <c r="AB21" i="1"/>
  <c r="B21" i="1" s="1"/>
  <c r="I22" i="1"/>
  <c r="K22" i="1"/>
  <c r="AB22" i="1"/>
  <c r="B22" i="1" s="1"/>
  <c r="I23" i="1"/>
  <c r="K23" i="1"/>
  <c r="AB23" i="1"/>
  <c r="B23" i="1" s="1"/>
  <c r="I24" i="1"/>
  <c r="K24" i="1"/>
  <c r="AB24" i="1"/>
  <c r="AI24" i="1" s="1"/>
  <c r="I25" i="1"/>
  <c r="K25" i="1"/>
  <c r="AB25" i="1"/>
  <c r="AI25" i="1" s="1"/>
  <c r="I26" i="1"/>
  <c r="K26" i="1"/>
  <c r="AB26" i="1"/>
  <c r="I27" i="1"/>
  <c r="K27" i="1"/>
  <c r="AB27" i="1"/>
  <c r="I28" i="1"/>
  <c r="K28" i="1"/>
  <c r="AB28" i="1"/>
  <c r="B28" i="1" s="1"/>
  <c r="I29" i="1"/>
  <c r="K29" i="1"/>
  <c r="AB29" i="1"/>
  <c r="B29" i="1" s="1"/>
  <c r="I30" i="1"/>
  <c r="K30" i="1"/>
  <c r="AB30" i="1"/>
  <c r="AI30" i="1" s="1"/>
  <c r="I31" i="1"/>
  <c r="K31" i="1"/>
  <c r="AC31" i="1"/>
  <c r="I32" i="1"/>
  <c r="K32" i="1"/>
  <c r="AC32" i="1"/>
  <c r="I33" i="1"/>
  <c r="K33" i="1"/>
  <c r="AB33" i="1"/>
  <c r="I34" i="1"/>
  <c r="K34" i="1"/>
  <c r="AC34" i="1"/>
  <c r="I35" i="1"/>
  <c r="K35" i="1"/>
  <c r="AB35" i="1"/>
  <c r="I36" i="1"/>
  <c r="K36" i="1"/>
  <c r="AB36" i="1"/>
  <c r="I37" i="1"/>
  <c r="K37" i="1"/>
  <c r="AC37" i="1"/>
  <c r="I38" i="1"/>
  <c r="K38" i="1"/>
  <c r="AB38" i="1"/>
  <c r="B38" i="1" s="1"/>
  <c r="I39" i="1"/>
  <c r="K39" i="1"/>
  <c r="AB39" i="1"/>
  <c r="B39" i="1" s="1"/>
  <c r="I40" i="1"/>
  <c r="K40" i="1"/>
  <c r="AB40" i="1"/>
  <c r="B40" i="1" s="1"/>
  <c r="I41" i="1"/>
  <c r="K41" i="1"/>
  <c r="AB41" i="1"/>
  <c r="I42" i="1"/>
  <c r="K42" i="1"/>
  <c r="AB42" i="1"/>
  <c r="AI42" i="1" s="1"/>
  <c r="I43" i="1"/>
  <c r="K43" i="1"/>
  <c r="AB43" i="1"/>
  <c r="B43" i="1" s="1"/>
  <c r="I44" i="1"/>
  <c r="K44" i="1"/>
  <c r="AB44" i="1"/>
  <c r="B44" i="1" s="1"/>
  <c r="I45" i="1"/>
  <c r="K45" i="1"/>
  <c r="AB45" i="1"/>
  <c r="B45" i="1" s="1"/>
  <c r="I46" i="1"/>
  <c r="K46" i="1"/>
  <c r="AC46" i="1"/>
  <c r="I47" i="1"/>
  <c r="K47" i="1"/>
  <c r="AC47" i="1"/>
  <c r="I48" i="1"/>
  <c r="K48" i="1"/>
  <c r="AB48" i="1"/>
  <c r="I49" i="1"/>
  <c r="K49" i="1"/>
  <c r="AB49" i="1"/>
  <c r="I50" i="1"/>
  <c r="K50" i="1"/>
  <c r="AB50" i="1"/>
  <c r="B50" i="1" s="1"/>
  <c r="I51" i="1"/>
  <c r="K51" i="1"/>
  <c r="AC51" i="1"/>
  <c r="I52" i="1"/>
  <c r="K52" i="1"/>
  <c r="AC52" i="1"/>
  <c r="I53" i="1"/>
  <c r="K53" i="1"/>
  <c r="AB53" i="1"/>
  <c r="AI53" i="1" s="1"/>
  <c r="I54" i="1"/>
  <c r="K54" i="1"/>
  <c r="AB54" i="1"/>
  <c r="I55" i="1"/>
  <c r="K55" i="1"/>
  <c r="AB55" i="1"/>
  <c r="I56" i="1"/>
  <c r="K56" i="1"/>
  <c r="AB56" i="1"/>
  <c r="I57" i="1"/>
  <c r="K57" i="1"/>
  <c r="AB57" i="1"/>
  <c r="I58" i="1"/>
  <c r="K58" i="1"/>
  <c r="AB58" i="1"/>
  <c r="I59" i="1"/>
  <c r="K59" i="1"/>
  <c r="AB59" i="1"/>
  <c r="AI59" i="1" s="1"/>
  <c r="I60" i="1"/>
  <c r="K60" i="1"/>
  <c r="AC60" i="1"/>
  <c r="I61" i="1"/>
  <c r="K61" i="1"/>
  <c r="AC61" i="1"/>
  <c r="I62" i="1"/>
  <c r="K62" i="1"/>
  <c r="AB62" i="1"/>
  <c r="B62" i="1" s="1"/>
  <c r="I63" i="1"/>
  <c r="K63" i="1"/>
  <c r="AB63" i="1"/>
  <c r="I64" i="1"/>
  <c r="K64" i="1"/>
  <c r="AB64" i="1"/>
  <c r="AI64" i="1" s="1"/>
  <c r="I65" i="1"/>
  <c r="K65" i="1"/>
  <c r="AB65" i="1"/>
  <c r="B65" i="1" s="1"/>
  <c r="I66" i="1"/>
  <c r="K66" i="1"/>
  <c r="AB66" i="1"/>
  <c r="B66" i="1" s="1"/>
  <c r="I67" i="1"/>
  <c r="K67" i="1"/>
  <c r="AB67" i="1"/>
  <c r="B67" i="1" s="1"/>
  <c r="I68" i="1"/>
  <c r="K68" i="1"/>
  <c r="AB68" i="1"/>
  <c r="AI68" i="1" s="1"/>
  <c r="I69" i="1"/>
  <c r="K69" i="1"/>
  <c r="AB69" i="1"/>
  <c r="AI69" i="1" s="1"/>
  <c r="I70" i="1"/>
  <c r="K70" i="1"/>
  <c r="AC70" i="1"/>
  <c r="I71" i="1"/>
  <c r="K71" i="1"/>
  <c r="AB71" i="1"/>
  <c r="AI71" i="1" s="1"/>
  <c r="I72" i="1"/>
  <c r="K72" i="1"/>
  <c r="AC72" i="1"/>
  <c r="I73" i="1"/>
  <c r="K73" i="1"/>
  <c r="AC73" i="1"/>
  <c r="I74" i="1"/>
  <c r="K74" i="1"/>
  <c r="AB74" i="1"/>
  <c r="AI74" i="1" s="1"/>
  <c r="I75" i="1"/>
  <c r="K75" i="1"/>
  <c r="AC75" i="1"/>
  <c r="I76" i="1"/>
  <c r="K76" i="1"/>
  <c r="AB76" i="1"/>
  <c r="I77" i="1"/>
  <c r="K77" i="1"/>
  <c r="AC77" i="1"/>
  <c r="I78" i="1"/>
  <c r="K78" i="1"/>
  <c r="AC78" i="1"/>
  <c r="I79" i="1"/>
  <c r="K79" i="1"/>
  <c r="AB79" i="1"/>
  <c r="I80" i="1"/>
  <c r="K80" i="1"/>
  <c r="AB80" i="1"/>
  <c r="I81" i="1"/>
  <c r="K81" i="1"/>
  <c r="AC81" i="1"/>
  <c r="I82" i="1"/>
  <c r="K82" i="1"/>
  <c r="AB82" i="1"/>
  <c r="AI82" i="1" s="1"/>
  <c r="I83" i="1"/>
  <c r="K83" i="1"/>
  <c r="AC83" i="1"/>
  <c r="I84" i="1"/>
  <c r="K84" i="1"/>
  <c r="AC84" i="1"/>
  <c r="I85" i="1"/>
  <c r="K85" i="1"/>
  <c r="AB85" i="1"/>
  <c r="I86" i="1"/>
  <c r="K86" i="1"/>
  <c r="AC86" i="1"/>
  <c r="I87" i="1"/>
  <c r="K87" i="1"/>
  <c r="AC87" i="1"/>
  <c r="I88" i="1"/>
  <c r="K88" i="1"/>
  <c r="AC88" i="1"/>
  <c r="I89" i="1"/>
  <c r="K89" i="1"/>
  <c r="AB89" i="1"/>
  <c r="B89" i="1" s="1"/>
  <c r="I90" i="1"/>
  <c r="K90" i="1"/>
  <c r="AB90" i="1"/>
  <c r="AI90" i="1" s="1"/>
  <c r="I91" i="1"/>
  <c r="K91" i="1"/>
  <c r="AB91" i="1"/>
  <c r="AI91" i="1" s="1"/>
  <c r="I92" i="1"/>
  <c r="K92" i="1"/>
  <c r="AB92" i="1"/>
  <c r="I93" i="1"/>
  <c r="K93" i="1"/>
  <c r="AB93" i="1"/>
  <c r="AI93" i="1" s="1"/>
  <c r="I94" i="1"/>
  <c r="K94" i="1"/>
  <c r="AB94" i="1"/>
  <c r="B94" i="1" s="1"/>
  <c r="I95" i="1"/>
  <c r="K95" i="1"/>
  <c r="AB95" i="1"/>
  <c r="B95" i="1" s="1"/>
  <c r="I96" i="1"/>
  <c r="K96" i="1"/>
  <c r="AB96" i="1"/>
  <c r="B96" i="1" s="1"/>
  <c r="I97" i="1"/>
  <c r="K97" i="1"/>
  <c r="AC97" i="1"/>
  <c r="I98" i="1"/>
  <c r="K98" i="1"/>
  <c r="AC98" i="1"/>
  <c r="I99" i="1"/>
  <c r="K99" i="1"/>
  <c r="AB99" i="1"/>
  <c r="I100" i="1"/>
  <c r="K100" i="1"/>
  <c r="AB100" i="1"/>
  <c r="I101" i="1"/>
  <c r="K101" i="1"/>
  <c r="AB101" i="1"/>
  <c r="I102" i="1"/>
  <c r="K102" i="1"/>
  <c r="AC102" i="1"/>
  <c r="I103" i="1"/>
  <c r="K103" i="1"/>
  <c r="AC103" i="1"/>
  <c r="I104" i="1"/>
  <c r="K104" i="1"/>
  <c r="AB104" i="1"/>
  <c r="B104" i="1" s="1"/>
  <c r="I105" i="1"/>
  <c r="K105" i="1"/>
  <c r="AC105" i="1"/>
  <c r="I106" i="1"/>
  <c r="K106" i="1"/>
  <c r="AC106" i="1"/>
  <c r="I107" i="1"/>
  <c r="K107" i="1"/>
  <c r="AB107" i="1"/>
  <c r="I108" i="1"/>
  <c r="K108" i="1"/>
  <c r="AB108" i="1"/>
  <c r="AI108" i="1" s="1"/>
  <c r="I109" i="1"/>
  <c r="K109" i="1"/>
  <c r="AC109" i="1"/>
  <c r="I110" i="1"/>
  <c r="K110" i="1"/>
  <c r="AC110" i="1"/>
  <c r="I111" i="1"/>
  <c r="K111" i="1"/>
  <c r="AB111" i="1"/>
  <c r="B111" i="1" s="1"/>
  <c r="I112" i="1"/>
  <c r="K112" i="1"/>
  <c r="AB112" i="1"/>
  <c r="AI112" i="1" s="1"/>
  <c r="I113" i="1"/>
  <c r="K113" i="1"/>
  <c r="AC113" i="1"/>
  <c r="I114" i="1"/>
  <c r="K114" i="1"/>
  <c r="AC114" i="1"/>
  <c r="I115" i="1"/>
  <c r="K115" i="1"/>
  <c r="AB115" i="1"/>
  <c r="AI115" i="1" s="1"/>
  <c r="I116" i="1"/>
  <c r="K116" i="1"/>
  <c r="AB116" i="1"/>
  <c r="B116" i="1" s="1"/>
  <c r="I117" i="1"/>
  <c r="K117" i="1"/>
  <c r="AB117" i="1"/>
  <c r="B117" i="1" s="1"/>
  <c r="I118" i="1"/>
  <c r="K118" i="1"/>
  <c r="AB118" i="1"/>
  <c r="B118" i="1" s="1"/>
  <c r="I119" i="1"/>
  <c r="K119" i="1"/>
  <c r="AC119" i="1"/>
  <c r="I120" i="1"/>
  <c r="K120" i="1"/>
  <c r="AB120" i="1"/>
  <c r="I121" i="1"/>
  <c r="K121" i="1"/>
  <c r="AC121" i="1"/>
  <c r="I122" i="1"/>
  <c r="K122" i="1"/>
  <c r="AB122" i="1"/>
  <c r="I123" i="1"/>
  <c r="K123" i="1"/>
  <c r="AB123" i="1"/>
  <c r="I124" i="1"/>
  <c r="K124" i="1"/>
  <c r="AB124" i="1"/>
  <c r="I125" i="1"/>
  <c r="K125" i="1"/>
  <c r="AC125" i="1"/>
  <c r="I126" i="1"/>
  <c r="K126" i="1"/>
  <c r="AC126" i="1"/>
  <c r="I127" i="1"/>
  <c r="K127" i="1"/>
  <c r="AB127" i="1"/>
  <c r="B127" i="1" s="1"/>
  <c r="I128" i="1"/>
  <c r="K128" i="1"/>
  <c r="AB128" i="1"/>
  <c r="B128" i="1" s="1"/>
  <c r="I129" i="1"/>
  <c r="K129" i="1"/>
  <c r="AB129" i="1"/>
  <c r="I130" i="1"/>
  <c r="K130" i="1"/>
  <c r="AB130" i="1"/>
  <c r="AI130" i="1" s="1"/>
  <c r="I131" i="1"/>
  <c r="K131" i="1"/>
  <c r="AB131" i="1"/>
  <c r="B131" i="1" s="1"/>
  <c r="I132" i="1"/>
  <c r="K132" i="1"/>
  <c r="AB132" i="1"/>
  <c r="B132" i="1" s="1"/>
  <c r="I133" i="1"/>
  <c r="K133" i="1"/>
  <c r="AC133" i="1"/>
  <c r="I134" i="1"/>
  <c r="K134" i="1"/>
  <c r="AC134" i="1"/>
  <c r="I135" i="1"/>
  <c r="K135" i="1"/>
  <c r="AB135" i="1"/>
  <c r="AI135" i="1" s="1"/>
  <c r="I136" i="1"/>
  <c r="K136" i="1"/>
  <c r="AB136" i="1"/>
  <c r="I137" i="1"/>
  <c r="K137" i="1"/>
  <c r="AC137" i="1"/>
  <c r="I138" i="1"/>
  <c r="K138" i="1"/>
  <c r="AC138" i="1"/>
  <c r="I139" i="1"/>
  <c r="K139" i="1"/>
  <c r="AB139" i="1"/>
  <c r="AI139" i="1" s="1"/>
  <c r="I140" i="1"/>
  <c r="K140" i="1"/>
  <c r="AB140" i="1"/>
  <c r="AI140" i="1" s="1"/>
  <c r="I141" i="1"/>
  <c r="K141" i="1"/>
  <c r="AB141" i="1"/>
  <c r="AI141" i="1" s="1"/>
  <c r="I142" i="1"/>
  <c r="K142" i="1"/>
  <c r="AC142" i="1"/>
  <c r="I143" i="1"/>
  <c r="K143" i="1"/>
  <c r="AC143" i="1"/>
  <c r="I144" i="1"/>
  <c r="K144" i="1"/>
  <c r="AB144" i="1"/>
  <c r="I145" i="1"/>
  <c r="K145" i="1"/>
  <c r="AB145" i="1"/>
  <c r="I146" i="1"/>
  <c r="K146" i="1"/>
  <c r="AB146" i="1"/>
  <c r="I147" i="1"/>
  <c r="K147" i="1"/>
  <c r="AB147" i="1"/>
  <c r="AI147" i="1" s="1"/>
  <c r="I148" i="1"/>
  <c r="K148" i="1"/>
  <c r="AC148" i="1"/>
  <c r="I149" i="1"/>
  <c r="K149" i="1"/>
  <c r="AB149" i="1"/>
  <c r="B149" i="1" s="1"/>
  <c r="I150" i="1"/>
  <c r="K150" i="1"/>
  <c r="AB150" i="1"/>
  <c r="B150" i="1" s="1"/>
  <c r="I151" i="1"/>
  <c r="K151" i="1"/>
  <c r="AB151" i="1"/>
  <c r="I152" i="1"/>
  <c r="K152" i="1"/>
  <c r="AB152" i="1"/>
  <c r="AI152" i="1" s="1"/>
  <c r="I153" i="1"/>
  <c r="K153" i="1"/>
  <c r="AB153" i="1"/>
  <c r="B153" i="1" s="1"/>
  <c r="I154" i="1"/>
  <c r="K154" i="1"/>
  <c r="AC154" i="1"/>
  <c r="I155" i="1"/>
  <c r="K155" i="1"/>
  <c r="AB155" i="1"/>
  <c r="B155" i="1" s="1"/>
  <c r="I156" i="1"/>
  <c r="K156" i="1"/>
  <c r="AC156" i="1"/>
  <c r="I157" i="1"/>
  <c r="K157" i="1"/>
  <c r="AB157" i="1"/>
  <c r="AI157" i="1" s="1"/>
  <c r="I158" i="1"/>
  <c r="K158" i="1"/>
  <c r="I159" i="1"/>
  <c r="K159" i="1"/>
  <c r="AC159" i="1"/>
  <c r="I160" i="1"/>
  <c r="K160" i="1"/>
  <c r="AB160" i="1"/>
  <c r="B160" i="1" s="1"/>
  <c r="I161" i="1"/>
  <c r="K161" i="1"/>
  <c r="AB161" i="1"/>
  <c r="AI161" i="1" s="1"/>
  <c r="I162" i="1"/>
  <c r="K162" i="1"/>
  <c r="AB162" i="1"/>
  <c r="AI162" i="1" s="1"/>
  <c r="I163" i="1"/>
  <c r="K163" i="1"/>
  <c r="AB163" i="1"/>
  <c r="B163" i="1" s="1"/>
  <c r="I164" i="1"/>
  <c r="K164" i="1"/>
  <c r="AB164" i="1"/>
  <c r="I165" i="1"/>
  <c r="K165" i="1"/>
  <c r="AB165" i="1"/>
  <c r="I166" i="1"/>
  <c r="K166" i="1"/>
  <c r="AB166" i="1"/>
  <c r="I167" i="1"/>
  <c r="K167" i="1"/>
  <c r="AB167" i="1"/>
  <c r="I168" i="1"/>
  <c r="K168" i="1"/>
  <c r="AB168" i="1"/>
  <c r="I169" i="1"/>
  <c r="K169" i="1"/>
  <c r="AB169" i="1"/>
  <c r="AI169" i="1" s="1"/>
  <c r="I170" i="1"/>
  <c r="K170" i="1"/>
  <c r="AB170" i="1"/>
  <c r="B170" i="1" s="1"/>
  <c r="I171" i="1"/>
  <c r="K171" i="1"/>
  <c r="AB171" i="1"/>
  <c r="B171" i="1" s="1"/>
  <c r="I172" i="1"/>
  <c r="K172" i="1"/>
  <c r="AB172" i="1"/>
  <c r="B172" i="1" s="1"/>
  <c r="I173" i="1"/>
  <c r="K173" i="1"/>
  <c r="AB173" i="1"/>
  <c r="I174" i="1"/>
  <c r="K174" i="1"/>
  <c r="AB174" i="1"/>
  <c r="I175" i="1"/>
  <c r="K175" i="1"/>
  <c r="AB175" i="1"/>
  <c r="B175" i="1" s="1"/>
  <c r="I176" i="1"/>
  <c r="K176" i="1"/>
  <c r="AB176" i="1"/>
  <c r="B176" i="1" s="1"/>
  <c r="I177" i="1"/>
  <c r="K177" i="1"/>
  <c r="AB177" i="1"/>
  <c r="B177" i="1" s="1"/>
  <c r="I178" i="1"/>
  <c r="K178" i="1"/>
  <c r="AB178" i="1"/>
  <c r="AI178" i="1" s="1"/>
  <c r="I179" i="1"/>
  <c r="K179" i="1"/>
  <c r="AB179" i="1"/>
  <c r="AI179" i="1" s="1"/>
  <c r="I180" i="1"/>
  <c r="K180" i="1"/>
  <c r="AB180" i="1"/>
  <c r="B180" i="1" s="1"/>
  <c r="I181" i="1"/>
  <c r="K181" i="1"/>
  <c r="AB181" i="1"/>
  <c r="I182" i="1"/>
  <c r="K182" i="1"/>
  <c r="AB182" i="1"/>
  <c r="B182" i="1" s="1"/>
  <c r="I183" i="1"/>
  <c r="K183" i="1"/>
  <c r="AB183" i="1"/>
  <c r="B183" i="1" s="1"/>
  <c r="I184" i="1"/>
  <c r="K184" i="1"/>
  <c r="I185" i="1"/>
  <c r="K185" i="1"/>
  <c r="AB185" i="1"/>
  <c r="AI185" i="1" s="1"/>
  <c r="I186" i="1"/>
  <c r="K186" i="1"/>
  <c r="AB186" i="1"/>
  <c r="I187" i="1"/>
  <c r="K187" i="1"/>
  <c r="AC187" i="1"/>
  <c r="I188" i="1"/>
  <c r="K188" i="1"/>
  <c r="AB188" i="1"/>
  <c r="I189" i="1"/>
  <c r="K189" i="1"/>
  <c r="AB189" i="1"/>
  <c r="I190" i="1"/>
  <c r="K190" i="1"/>
  <c r="AB190" i="1"/>
  <c r="I191" i="1"/>
  <c r="K191" i="1"/>
  <c r="AB191" i="1"/>
  <c r="AI191" i="1" s="1"/>
  <c r="I192" i="1"/>
  <c r="K192" i="1"/>
  <c r="AB192" i="1"/>
  <c r="B192" i="1" s="1"/>
  <c r="I193" i="1"/>
  <c r="K193" i="1"/>
  <c r="AB193" i="1"/>
  <c r="B193" i="1" s="1"/>
  <c r="I194" i="1"/>
  <c r="K194" i="1"/>
  <c r="AB194" i="1"/>
  <c r="B194" i="1" s="1"/>
  <c r="I195" i="1"/>
  <c r="K195" i="1"/>
  <c r="AB195" i="1"/>
  <c r="I196" i="1"/>
  <c r="K196" i="1"/>
  <c r="AC196" i="1"/>
  <c r="I197" i="1"/>
  <c r="K197" i="1"/>
  <c r="AB197" i="1"/>
  <c r="B197" i="1" s="1"/>
  <c r="I198" i="1"/>
  <c r="K198" i="1"/>
  <c r="AB198" i="1"/>
  <c r="B198" i="1" s="1"/>
  <c r="I199" i="1"/>
  <c r="K199" i="1"/>
  <c r="AC199" i="1"/>
  <c r="I200" i="1"/>
  <c r="K200" i="1"/>
  <c r="AB200" i="1"/>
  <c r="AI200" i="1" s="1"/>
  <c r="I201" i="1"/>
  <c r="K201" i="1"/>
  <c r="AB201" i="1"/>
  <c r="AI201" i="1" s="1"/>
  <c r="I202" i="1"/>
  <c r="K202" i="1"/>
  <c r="AB202" i="1"/>
  <c r="AI202" i="1" s="1"/>
  <c r="I203" i="1"/>
  <c r="K203" i="1"/>
  <c r="AB203" i="1"/>
  <c r="I204" i="1"/>
  <c r="K204" i="1"/>
  <c r="AB204" i="1"/>
  <c r="AI204" i="1" s="1"/>
  <c r="I205" i="1"/>
  <c r="K205" i="1"/>
  <c r="AB205" i="1"/>
  <c r="B205" i="1" s="1"/>
  <c r="I206" i="1"/>
  <c r="K206" i="1"/>
  <c r="AB206" i="1"/>
  <c r="B206" i="1" s="1"/>
  <c r="I207" i="1"/>
  <c r="K207" i="1"/>
  <c r="AB207" i="1"/>
  <c r="B207" i="1" s="1"/>
  <c r="I208" i="1"/>
  <c r="K208" i="1"/>
  <c r="AB208" i="1"/>
  <c r="I209" i="1"/>
  <c r="K209" i="1"/>
  <c r="AB209" i="1"/>
  <c r="I210" i="1"/>
  <c r="K210" i="1"/>
  <c r="I211" i="1"/>
  <c r="K211" i="1"/>
  <c r="AB211" i="1"/>
  <c r="I212" i="1"/>
  <c r="K212" i="1"/>
  <c r="I213" i="1"/>
  <c r="K213" i="1"/>
  <c r="I214" i="1"/>
  <c r="K214" i="1"/>
  <c r="I215" i="1"/>
  <c r="K215" i="1"/>
  <c r="I216" i="1"/>
  <c r="K216" i="1"/>
  <c r="I217" i="1"/>
  <c r="K217" i="1"/>
  <c r="I218" i="1"/>
  <c r="K218" i="1"/>
  <c r="AB218" i="1"/>
  <c r="AI218" i="1" s="1"/>
  <c r="I219" i="1"/>
  <c r="K219" i="1"/>
  <c r="AB219" i="1"/>
  <c r="B219" i="1" s="1"/>
  <c r="I220" i="1"/>
  <c r="K220" i="1"/>
  <c r="AB220" i="1"/>
  <c r="B220" i="1" s="1"/>
  <c r="I221" i="1"/>
  <c r="K221" i="1"/>
  <c r="AB221" i="1"/>
  <c r="B221" i="1" s="1"/>
  <c r="I222" i="1"/>
  <c r="K222" i="1"/>
  <c r="AB222" i="1"/>
  <c r="AI222" i="1" s="1"/>
  <c r="I223" i="1"/>
  <c r="K223" i="1"/>
  <c r="AB223" i="1"/>
  <c r="AI223" i="1" s="1"/>
  <c r="I224" i="1"/>
  <c r="K224" i="1"/>
  <c r="I225" i="1"/>
  <c r="K225" i="1"/>
  <c r="AB225" i="1"/>
  <c r="B225" i="1" s="1"/>
  <c r="I226" i="1"/>
  <c r="K226" i="1"/>
  <c r="AB226" i="1"/>
  <c r="AI226" i="1" s="1"/>
  <c r="I227" i="1"/>
  <c r="K227" i="1"/>
  <c r="AB227" i="1"/>
  <c r="AI227" i="1" s="1"/>
  <c r="I228" i="1"/>
  <c r="K228" i="1"/>
  <c r="AB228" i="1"/>
  <c r="I229" i="1"/>
  <c r="K229" i="1"/>
  <c r="AB229" i="1"/>
  <c r="AI229" i="1" s="1"/>
  <c r="I230" i="1"/>
  <c r="K230" i="1"/>
  <c r="AB230" i="1"/>
  <c r="I231" i="1"/>
  <c r="K231" i="1"/>
  <c r="AB231" i="1"/>
  <c r="B231" i="1" s="1"/>
  <c r="I232" i="1"/>
  <c r="K232" i="1"/>
  <c r="AB232" i="1"/>
  <c r="AI232" i="1" s="1"/>
  <c r="I233" i="1"/>
  <c r="K233" i="1"/>
  <c r="AB233" i="1"/>
  <c r="I234" i="1"/>
  <c r="K234" i="1"/>
  <c r="AB234" i="1"/>
  <c r="I235" i="1"/>
  <c r="K235" i="1"/>
  <c r="I236" i="1"/>
  <c r="K236" i="1"/>
  <c r="I237" i="1"/>
  <c r="K237" i="1"/>
  <c r="AB237" i="1"/>
  <c r="B237" i="1" s="1"/>
  <c r="I238" i="1"/>
  <c r="K238" i="1"/>
  <c r="AB238" i="1"/>
  <c r="AI238" i="1" s="1"/>
  <c r="I239" i="1"/>
  <c r="K239" i="1"/>
  <c r="AB239" i="1"/>
  <c r="AI239" i="1" s="1"/>
  <c r="I240" i="1"/>
  <c r="K240" i="1"/>
  <c r="AB240" i="1"/>
  <c r="AI240" i="1" s="1"/>
  <c r="I241" i="1"/>
  <c r="K241" i="1"/>
  <c r="AB241" i="1"/>
  <c r="B241" i="1" s="1"/>
  <c r="I242" i="1"/>
  <c r="K242" i="1"/>
  <c r="AB242" i="1"/>
  <c r="B242" i="1" s="1"/>
  <c r="I243" i="1"/>
  <c r="K243" i="1"/>
  <c r="I244" i="1"/>
  <c r="K244" i="1"/>
  <c r="AB244" i="1"/>
  <c r="AI244" i="1" s="1"/>
  <c r="I245" i="1"/>
  <c r="K245" i="1"/>
  <c r="AB245" i="1"/>
  <c r="AI245" i="1" s="1"/>
  <c r="I246" i="1"/>
  <c r="K246" i="1"/>
  <c r="AB246" i="1"/>
  <c r="AI246" i="1" s="1"/>
  <c r="I247" i="1"/>
  <c r="K247" i="1"/>
  <c r="AB247" i="1"/>
  <c r="B247" i="1" s="1"/>
  <c r="I248" i="1"/>
  <c r="K248" i="1"/>
  <c r="AB248" i="1"/>
  <c r="B248" i="1" s="1"/>
  <c r="I249" i="1"/>
  <c r="K249" i="1"/>
  <c r="AB249" i="1"/>
  <c r="AI249" i="1" s="1"/>
  <c r="I250" i="1"/>
  <c r="K250" i="1"/>
  <c r="AB250" i="1"/>
  <c r="I251" i="1"/>
  <c r="K251" i="1"/>
  <c r="AB251" i="1"/>
  <c r="I252" i="1"/>
  <c r="K252" i="1"/>
  <c r="AB252" i="1"/>
  <c r="I253" i="1"/>
  <c r="K253" i="1"/>
  <c r="AB253" i="1"/>
  <c r="I254" i="1"/>
  <c r="K254" i="1"/>
  <c r="AB254" i="1"/>
  <c r="B254" i="1" s="1"/>
  <c r="I255" i="1"/>
  <c r="K255" i="1"/>
  <c r="AB255" i="1"/>
  <c r="AI255" i="1" s="1"/>
  <c r="I256" i="1"/>
  <c r="K256" i="1"/>
  <c r="AB256" i="1"/>
  <c r="I257" i="1"/>
  <c r="K257" i="1"/>
  <c r="AB257" i="1"/>
  <c r="I258" i="1"/>
  <c r="K258" i="1"/>
  <c r="AB258" i="1"/>
  <c r="I259" i="1"/>
  <c r="K259" i="1"/>
  <c r="AB259" i="1"/>
  <c r="I260" i="1"/>
  <c r="K260" i="1"/>
  <c r="AB260" i="1"/>
  <c r="B260" i="1" s="1"/>
  <c r="I261" i="1"/>
  <c r="K261" i="1"/>
  <c r="I262" i="1"/>
  <c r="K262" i="1"/>
  <c r="I263" i="1"/>
  <c r="K263" i="1"/>
  <c r="I264" i="1"/>
  <c r="K264" i="1"/>
  <c r="I265" i="1"/>
  <c r="K265" i="1"/>
  <c r="I266" i="1"/>
  <c r="K266" i="1"/>
  <c r="I267" i="1"/>
  <c r="K267" i="1"/>
  <c r="I268" i="1"/>
  <c r="K268" i="1"/>
  <c r="I269" i="1"/>
  <c r="K269" i="1"/>
  <c r="I270" i="1"/>
  <c r="K270" i="1"/>
  <c r="I271" i="1"/>
  <c r="K271" i="1"/>
  <c r="I272" i="1"/>
  <c r="K272" i="1"/>
  <c r="I273" i="1"/>
  <c r="K273" i="1"/>
  <c r="I274" i="1"/>
  <c r="K274" i="1"/>
  <c r="I275" i="1"/>
  <c r="K275" i="1"/>
  <c r="AC275" i="1"/>
  <c r="I276" i="1"/>
  <c r="K276" i="1"/>
  <c r="AB276" i="1"/>
  <c r="AC276" i="1"/>
  <c r="I277" i="1"/>
  <c r="K277" i="1"/>
  <c r="AC277" i="1"/>
  <c r="I278" i="1"/>
  <c r="K278" i="1"/>
  <c r="AB278" i="1"/>
  <c r="I279" i="1"/>
  <c r="K279" i="1"/>
  <c r="AB279" i="1"/>
  <c r="I280" i="1"/>
  <c r="K280" i="1"/>
  <c r="AC280" i="1"/>
  <c r="I281" i="1"/>
  <c r="K281" i="1"/>
  <c r="AB281" i="1"/>
  <c r="B281" i="1" s="1"/>
  <c r="I282" i="1"/>
  <c r="K282" i="1"/>
  <c r="AB282" i="1"/>
  <c r="AC282" i="1"/>
  <c r="I283" i="1"/>
  <c r="K283" i="1"/>
  <c r="AB283" i="1"/>
  <c r="AI283" i="1" s="1"/>
  <c r="I284" i="1"/>
  <c r="K284" i="1"/>
  <c r="AB284" i="1"/>
  <c r="I285" i="1"/>
  <c r="K285" i="1"/>
  <c r="AB285" i="1"/>
  <c r="AI285" i="1" s="1"/>
  <c r="I286" i="1"/>
  <c r="K286" i="1"/>
  <c r="AB286" i="1"/>
  <c r="AI286" i="1" s="1"/>
  <c r="I287" i="1"/>
  <c r="K287" i="1"/>
  <c r="AC287" i="1"/>
  <c r="I288" i="1"/>
  <c r="K288" i="1"/>
  <c r="AC288" i="1"/>
  <c r="I289" i="1"/>
  <c r="K289" i="1"/>
  <c r="AB289" i="1"/>
  <c r="AI289" i="1" s="1"/>
  <c r="I290" i="1"/>
  <c r="K290" i="1"/>
  <c r="AC290" i="1"/>
  <c r="I291" i="1"/>
  <c r="K291" i="1"/>
  <c r="AB291" i="1"/>
  <c r="I292" i="1"/>
  <c r="K292" i="1"/>
  <c r="AB292" i="1"/>
  <c r="B292" i="1" s="1"/>
  <c r="I293" i="1"/>
  <c r="K293" i="1"/>
  <c r="AC293" i="1"/>
  <c r="I294" i="1"/>
  <c r="K294" i="1"/>
  <c r="AB294" i="1"/>
  <c r="B294" i="1" s="1"/>
  <c r="I295" i="1"/>
  <c r="K295" i="1"/>
  <c r="AB295" i="1"/>
  <c r="B295" i="1" s="1"/>
  <c r="I296" i="1"/>
  <c r="K296" i="1"/>
  <c r="AB296" i="1"/>
  <c r="B296" i="1" s="1"/>
  <c r="I297" i="1"/>
  <c r="K297" i="1"/>
  <c r="AB297" i="1"/>
  <c r="I298" i="1"/>
  <c r="K298" i="1"/>
  <c r="AB298" i="1"/>
  <c r="I299" i="1"/>
  <c r="K299" i="1"/>
  <c r="AC299" i="1"/>
  <c r="I300" i="1"/>
  <c r="K300" i="1"/>
  <c r="AC300" i="1"/>
  <c r="I301" i="1"/>
  <c r="K301" i="1"/>
  <c r="AB301" i="1"/>
  <c r="I302" i="1"/>
  <c r="K302" i="1"/>
  <c r="AB302" i="1"/>
  <c r="B302" i="1" s="1"/>
  <c r="I303" i="1"/>
  <c r="K303" i="1"/>
  <c r="AB303" i="1"/>
  <c r="B303" i="1" s="1"/>
  <c r="I304" i="1"/>
  <c r="K304" i="1"/>
  <c r="AB304" i="1"/>
  <c r="I305" i="1"/>
  <c r="K305" i="1"/>
  <c r="AC305" i="1"/>
  <c r="I306" i="1"/>
  <c r="K306" i="1"/>
  <c r="AB306" i="1"/>
  <c r="I307" i="1"/>
  <c r="K307" i="1"/>
  <c r="AB307" i="1"/>
  <c r="AI307" i="1" s="1"/>
  <c r="I308" i="1"/>
  <c r="K308" i="1"/>
  <c r="AB308" i="1"/>
  <c r="AI308" i="1" s="1"/>
  <c r="AC308" i="1"/>
  <c r="I309" i="1"/>
  <c r="K309" i="1"/>
  <c r="AB309" i="1"/>
  <c r="AI309" i="1" s="1"/>
  <c r="AC309" i="1"/>
  <c r="I310" i="1"/>
  <c r="K310" i="1"/>
  <c r="AB310" i="1"/>
  <c r="AI310" i="1" s="1"/>
  <c r="AC310" i="1"/>
  <c r="I311" i="1"/>
  <c r="K311" i="1"/>
  <c r="AC311" i="1"/>
  <c r="I312" i="1"/>
  <c r="K312" i="1"/>
  <c r="AB312" i="1"/>
  <c r="AI312" i="1" s="1"/>
  <c r="I313" i="1"/>
  <c r="K313" i="1"/>
  <c r="AC313" i="1"/>
  <c r="I314" i="1"/>
  <c r="K314" i="1"/>
  <c r="AB314" i="1"/>
  <c r="B314" i="1" s="1"/>
  <c r="I315" i="1"/>
  <c r="K315" i="1"/>
  <c r="AB315" i="1"/>
  <c r="B315" i="1" s="1"/>
  <c r="AC315" i="1"/>
  <c r="I316" i="1"/>
  <c r="K316" i="1"/>
  <c r="AB316" i="1"/>
  <c r="B316" i="1" s="1"/>
  <c r="AC316" i="1"/>
  <c r="I317" i="1"/>
  <c r="K317" i="1"/>
  <c r="AB317" i="1"/>
  <c r="B317" i="1" s="1"/>
  <c r="I318" i="1"/>
  <c r="K318" i="1"/>
  <c r="AB318" i="1"/>
  <c r="B318" i="1" s="1"/>
  <c r="I319" i="1"/>
  <c r="K319" i="1"/>
  <c r="AB319" i="1"/>
  <c r="I320" i="1"/>
  <c r="K320" i="1"/>
  <c r="AB320" i="1"/>
  <c r="I321" i="1"/>
  <c r="K321" i="1"/>
  <c r="AB321" i="1"/>
  <c r="B321" i="1" s="1"/>
  <c r="AC321" i="1"/>
  <c r="I322" i="1"/>
  <c r="K322" i="1"/>
  <c r="AB322" i="1"/>
  <c r="B322" i="1" s="1"/>
  <c r="AC322" i="1"/>
  <c r="AD322" i="1"/>
  <c r="I323" i="1"/>
  <c r="K323" i="1"/>
  <c r="AB323" i="1"/>
  <c r="AC323" i="1"/>
  <c r="AD323" i="1"/>
  <c r="I324" i="1"/>
  <c r="K324" i="1"/>
  <c r="AC324" i="1"/>
  <c r="I325" i="1"/>
  <c r="K325" i="1"/>
  <c r="AC325" i="1"/>
  <c r="I326" i="1"/>
  <c r="K326" i="1"/>
  <c r="AB326" i="1"/>
  <c r="I327" i="1"/>
  <c r="K327" i="1"/>
  <c r="AB327" i="1"/>
  <c r="AI327" i="1" s="1"/>
  <c r="AC327" i="1"/>
  <c r="I328" i="1"/>
  <c r="K328" i="1"/>
  <c r="AB328" i="1"/>
  <c r="AI328" i="1" s="1"/>
  <c r="AC328" i="1"/>
  <c r="I329" i="1"/>
  <c r="K329" i="1"/>
  <c r="AB329" i="1"/>
  <c r="AI329" i="1" s="1"/>
  <c r="I330" i="1"/>
  <c r="K330" i="1"/>
  <c r="AB330" i="1"/>
  <c r="AI330" i="1" s="1"/>
  <c r="AC330" i="1"/>
  <c r="I331" i="1"/>
  <c r="K331" i="1"/>
  <c r="AB331" i="1"/>
  <c r="AI331" i="1" s="1"/>
  <c r="I332" i="1"/>
  <c r="K332" i="1"/>
  <c r="AB332" i="1"/>
  <c r="AI332" i="1" s="1"/>
  <c r="I333" i="1"/>
  <c r="K333" i="1"/>
  <c r="AB333" i="1"/>
  <c r="AI333" i="1" s="1"/>
  <c r="I334" i="1"/>
  <c r="K334" i="1"/>
  <c r="AB334" i="1"/>
  <c r="AI334" i="1" s="1"/>
  <c r="I335" i="1"/>
  <c r="K335" i="1"/>
  <c r="AB335" i="1"/>
  <c r="B335" i="1" s="1"/>
  <c r="I336" i="1"/>
  <c r="K336" i="1"/>
  <c r="AB336" i="1"/>
  <c r="B336" i="1" s="1"/>
  <c r="AC336" i="1"/>
  <c r="I337" i="1"/>
  <c r="K337" i="1"/>
  <c r="AB337" i="1"/>
  <c r="B337" i="1" s="1"/>
  <c r="I338" i="1"/>
  <c r="K338" i="1"/>
  <c r="AB338" i="1"/>
  <c r="B338" i="1" s="1"/>
  <c r="I339" i="1"/>
  <c r="K339" i="1"/>
  <c r="AB339" i="1"/>
  <c r="B339" i="1" s="1"/>
  <c r="I340" i="1"/>
  <c r="K340" i="1"/>
  <c r="AB340" i="1"/>
  <c r="B340" i="1" s="1"/>
  <c r="I341" i="1"/>
  <c r="K341" i="1"/>
  <c r="AB341" i="1"/>
  <c r="B341" i="1" s="1"/>
  <c r="I342" i="1"/>
  <c r="K342" i="1"/>
  <c r="AB342" i="1"/>
  <c r="B342" i="1" s="1"/>
  <c r="I343" i="1"/>
  <c r="K343" i="1"/>
  <c r="AB343" i="1"/>
  <c r="I344" i="1"/>
  <c r="K344" i="1"/>
  <c r="AB344" i="1"/>
  <c r="I345" i="1"/>
  <c r="K345" i="1"/>
  <c r="AB345" i="1"/>
  <c r="I346" i="1"/>
  <c r="K346" i="1"/>
  <c r="AB346" i="1"/>
  <c r="I347" i="1"/>
  <c r="K347" i="1"/>
  <c r="I348" i="1"/>
  <c r="K348" i="1"/>
  <c r="AB348" i="1"/>
  <c r="AI348" i="1" s="1"/>
  <c r="AC348" i="1"/>
  <c r="I349" i="1"/>
  <c r="K349" i="1"/>
  <c r="AB349" i="1"/>
  <c r="AI349" i="1" s="1"/>
  <c r="I350" i="1"/>
  <c r="K350" i="1"/>
  <c r="AB350" i="1"/>
  <c r="AI350" i="1" s="1"/>
  <c r="I351" i="1"/>
  <c r="K351" i="1"/>
  <c r="AB351" i="1"/>
  <c r="AI351" i="1" s="1"/>
  <c r="AC351" i="1"/>
  <c r="I352" i="1"/>
  <c r="K352" i="1"/>
  <c r="AB352" i="1"/>
  <c r="AI352" i="1" s="1"/>
  <c r="AC352" i="1"/>
  <c r="I353" i="1"/>
  <c r="K353" i="1"/>
  <c r="AB353" i="1"/>
  <c r="AI353" i="1" s="1"/>
  <c r="I354" i="1"/>
  <c r="K354" i="1"/>
  <c r="I355" i="1"/>
  <c r="K355" i="1"/>
  <c r="AB355" i="1"/>
  <c r="AI355" i="1" s="1"/>
  <c r="AC355" i="1"/>
  <c r="I356" i="1"/>
  <c r="K356" i="1"/>
  <c r="AB356" i="1"/>
  <c r="AI356" i="1" s="1"/>
  <c r="I357" i="1"/>
  <c r="K357" i="1"/>
  <c r="AB357" i="1"/>
  <c r="B357" i="1" s="1"/>
  <c r="I358" i="1"/>
  <c r="K358" i="1"/>
  <c r="AB358" i="1"/>
  <c r="B358" i="1" s="1"/>
  <c r="I359" i="1"/>
  <c r="K359" i="1"/>
  <c r="AB359" i="1"/>
  <c r="B359" i="1" s="1"/>
  <c r="I360" i="1"/>
  <c r="K360" i="1"/>
  <c r="AB360" i="1"/>
  <c r="B360" i="1" s="1"/>
  <c r="I361" i="1"/>
  <c r="K361" i="1"/>
  <c r="AB361" i="1"/>
  <c r="B361" i="1" s="1"/>
  <c r="I362" i="1"/>
  <c r="K362" i="1"/>
  <c r="AB362" i="1"/>
  <c r="B362" i="1" s="1"/>
  <c r="I363" i="1"/>
  <c r="K363" i="1"/>
  <c r="AB363" i="1"/>
  <c r="B363" i="1" s="1"/>
  <c r="I364" i="1"/>
  <c r="K364" i="1"/>
  <c r="AB364" i="1"/>
  <c r="I365" i="1"/>
  <c r="K365" i="1"/>
  <c r="AB365" i="1"/>
  <c r="I366" i="1"/>
  <c r="K366" i="1"/>
  <c r="AB366" i="1"/>
  <c r="I367" i="1"/>
  <c r="K367" i="1"/>
  <c r="AB367" i="1"/>
  <c r="I368" i="1"/>
  <c r="K368" i="1"/>
  <c r="AB368" i="1"/>
  <c r="I369" i="1"/>
  <c r="K369" i="1"/>
  <c r="AB369" i="1"/>
  <c r="AI369" i="1" s="1"/>
  <c r="I370" i="1"/>
  <c r="K370" i="1"/>
  <c r="AB370" i="1"/>
  <c r="AI370" i="1" s="1"/>
  <c r="I371" i="1"/>
  <c r="K371" i="1"/>
  <c r="I372" i="1"/>
  <c r="K372" i="1"/>
  <c r="AB372" i="1"/>
  <c r="AI372" i="1" s="1"/>
  <c r="I373" i="1"/>
  <c r="K373" i="1"/>
  <c r="AB373" i="1"/>
  <c r="AI373" i="1" s="1"/>
  <c r="I374" i="1"/>
  <c r="K374" i="1"/>
  <c r="AB374" i="1"/>
  <c r="AI374" i="1" s="1"/>
  <c r="I375" i="1"/>
  <c r="K375" i="1"/>
  <c r="I376" i="1"/>
  <c r="K376" i="1"/>
  <c r="I377" i="1"/>
  <c r="K377" i="1"/>
  <c r="I378" i="1"/>
  <c r="K378" i="1"/>
  <c r="AB378" i="1"/>
  <c r="AI378" i="1" s="1"/>
  <c r="I379" i="1"/>
  <c r="K379" i="1"/>
  <c r="AB379" i="1"/>
  <c r="B379" i="1" s="1"/>
  <c r="I380" i="1"/>
  <c r="K380" i="1"/>
  <c r="AB380" i="1"/>
  <c r="B380" i="1" s="1"/>
  <c r="I381" i="1"/>
  <c r="K381" i="1"/>
  <c r="AB381" i="1"/>
  <c r="B381" i="1" s="1"/>
  <c r="I382" i="1"/>
  <c r="K382" i="1"/>
  <c r="AB382" i="1"/>
  <c r="B382" i="1" s="1"/>
  <c r="I383" i="1"/>
  <c r="K383" i="1"/>
  <c r="AB383" i="1"/>
  <c r="I384" i="1"/>
  <c r="K384" i="1"/>
  <c r="AB384" i="1"/>
  <c r="B384" i="1" s="1"/>
  <c r="I385" i="1"/>
  <c r="K385" i="1"/>
  <c r="AB385" i="1"/>
  <c r="B385" i="1" s="1"/>
  <c r="I386" i="1"/>
  <c r="K386" i="1"/>
  <c r="AB386" i="1"/>
  <c r="B386" i="1" s="1"/>
  <c r="I387" i="1"/>
  <c r="K387" i="1"/>
  <c r="AB387" i="1"/>
  <c r="AI387" i="1" s="1"/>
  <c r="I388" i="1"/>
  <c r="K388" i="1"/>
  <c r="AB388" i="1"/>
  <c r="I389" i="1"/>
  <c r="K389" i="1"/>
  <c r="AB389" i="1"/>
  <c r="I390" i="1"/>
  <c r="K390" i="1"/>
  <c r="AB390" i="1"/>
  <c r="I391" i="1"/>
  <c r="K391" i="1"/>
  <c r="AB391" i="1"/>
  <c r="I392" i="1"/>
  <c r="K392" i="1"/>
  <c r="I393" i="1"/>
  <c r="K393" i="1"/>
  <c r="AB393" i="1"/>
  <c r="AI393" i="1" s="1"/>
  <c r="I394" i="1"/>
  <c r="K394" i="1"/>
  <c r="AB394" i="1"/>
  <c r="AI394" i="1" s="1"/>
  <c r="I395" i="1"/>
  <c r="K395" i="1"/>
  <c r="I396" i="1"/>
  <c r="K396" i="1"/>
  <c r="AB396" i="1"/>
  <c r="AI396" i="1" s="1"/>
  <c r="I397" i="1"/>
  <c r="K397" i="1"/>
  <c r="I398" i="1"/>
  <c r="K398" i="1"/>
  <c r="I399" i="1"/>
  <c r="K399" i="1"/>
  <c r="I400" i="1"/>
  <c r="K400" i="1"/>
  <c r="AB400" i="1"/>
  <c r="AI400" i="1" s="1"/>
  <c r="I401" i="1"/>
  <c r="K401" i="1"/>
  <c r="AB401" i="1"/>
  <c r="AI401" i="1" s="1"/>
  <c r="AI342" i="1" l="1"/>
  <c r="B185" i="1"/>
  <c r="B387" i="1"/>
  <c r="B140" i="1"/>
  <c r="AI281" i="1"/>
  <c r="B161" i="1"/>
  <c r="B7" i="1"/>
  <c r="AI260" i="1"/>
  <c r="B355" i="1"/>
  <c r="B333" i="1"/>
  <c r="B289" i="1"/>
  <c r="B240" i="1"/>
  <c r="B218" i="1"/>
  <c r="B152" i="1"/>
  <c r="B130" i="1"/>
  <c r="B108" i="1"/>
  <c r="B64" i="1"/>
  <c r="B42" i="1"/>
  <c r="B20" i="1"/>
  <c r="AI225" i="1"/>
  <c r="AI247" i="1"/>
  <c r="AI335" i="1"/>
  <c r="AI357" i="1"/>
  <c r="AI379" i="1"/>
  <c r="B255" i="1"/>
  <c r="B232" i="1"/>
  <c r="B74" i="1"/>
  <c r="B332" i="1"/>
  <c r="B310" i="1"/>
  <c r="B239" i="1"/>
  <c r="AI28" i="1"/>
  <c r="AI50" i="1"/>
  <c r="AI94" i="1"/>
  <c r="AI116" i="1"/>
  <c r="AI160" i="1"/>
  <c r="AI182" i="1"/>
  <c r="AI248" i="1"/>
  <c r="AI292" i="1"/>
  <c r="AI314" i="1"/>
  <c r="AI336" i="1"/>
  <c r="AI358" i="1"/>
  <c r="AI380" i="1"/>
  <c r="AI38" i="1"/>
  <c r="AI170" i="1"/>
  <c r="AI302" i="1"/>
  <c r="B162" i="1"/>
  <c r="B30" i="1"/>
  <c r="B139" i="1"/>
  <c r="B309" i="1"/>
  <c r="B238" i="1"/>
  <c r="AI29" i="1"/>
  <c r="AI95" i="1"/>
  <c r="AI117" i="1"/>
  <c r="AI183" i="1"/>
  <c r="AI205" i="1"/>
  <c r="AI315" i="1"/>
  <c r="AI337" i="1"/>
  <c r="AI381" i="1"/>
  <c r="AI192" i="1"/>
  <c r="B330" i="1"/>
  <c r="B308" i="1"/>
  <c r="AI8" i="1"/>
  <c r="AI96" i="1"/>
  <c r="AI118" i="1"/>
  <c r="AI206" i="1"/>
  <c r="AI294" i="1"/>
  <c r="AI316" i="1"/>
  <c r="AI360" i="1"/>
  <c r="AI382" i="1"/>
  <c r="AI104" i="1"/>
  <c r="AI303" i="1"/>
  <c r="B373" i="1"/>
  <c r="B329" i="1"/>
  <c r="B82" i="1"/>
  <c r="AI163" i="1"/>
  <c r="AI207" i="1"/>
  <c r="AI295" i="1"/>
  <c r="AI317" i="1"/>
  <c r="AI339" i="1"/>
  <c r="AI361" i="1"/>
  <c r="B202" i="1"/>
  <c r="AI43" i="1"/>
  <c r="AI153" i="1"/>
  <c r="AI197" i="1"/>
  <c r="AI241" i="1"/>
  <c r="B245" i="1"/>
  <c r="B223" i="1"/>
  <c r="B201" i="1"/>
  <c r="B179" i="1"/>
  <c r="B157" i="1"/>
  <c r="B135" i="1"/>
  <c r="B91" i="1"/>
  <c r="B69" i="1"/>
  <c r="B25" i="1"/>
  <c r="AI22" i="1"/>
  <c r="AI44" i="1"/>
  <c r="AI66" i="1"/>
  <c r="AI132" i="1"/>
  <c r="AI176" i="1"/>
  <c r="AI198" i="1"/>
  <c r="AI220" i="1"/>
  <c r="AI242" i="1"/>
  <c r="AI21" i="1"/>
  <c r="AI65" i="1"/>
  <c r="AI131" i="1"/>
  <c r="AI219" i="1"/>
  <c r="B244" i="1"/>
  <c r="B222" i="1"/>
  <c r="B200" i="1"/>
  <c r="B178" i="1"/>
  <c r="B112" i="1"/>
  <c r="B90" i="1"/>
  <c r="B68" i="1"/>
  <c r="B24" i="1"/>
  <c r="AI23" i="1"/>
  <c r="AI45" i="1"/>
  <c r="AI67" i="1"/>
  <c r="AI89" i="1"/>
  <c r="AI111" i="1"/>
  <c r="AI155" i="1"/>
  <c r="AI177" i="1"/>
  <c r="AI221" i="1"/>
  <c r="B246" i="1"/>
  <c r="AI175" i="1"/>
  <c r="AI322" i="1"/>
  <c r="B378" i="1"/>
  <c r="B356" i="1"/>
  <c r="B334" i="1"/>
</calcChain>
</file>

<file path=xl/sharedStrings.xml><?xml version="1.0" encoding="utf-8"?>
<sst xmlns="http://schemas.openxmlformats.org/spreadsheetml/2006/main" count="4924" uniqueCount="374">
  <si>
    <t>API</t>
  </si>
  <si>
    <t>Well_Number</t>
  </si>
  <si>
    <t>Symbol_Desc</t>
  </si>
  <si>
    <t>Symbol</t>
  </si>
  <si>
    <t>Reliab</t>
  </si>
  <si>
    <t>Location_Source</t>
  </si>
  <si>
    <t>Lat27</t>
  </si>
  <si>
    <t>Long27</t>
  </si>
  <si>
    <t>Lat83</t>
  </si>
  <si>
    <t>Long83</t>
  </si>
  <si>
    <t>Wellbore_Status</t>
  </si>
  <si>
    <t>Last_Permit_Issued</t>
  </si>
  <si>
    <t>Last_Permit_Operator_Number</t>
  </si>
  <si>
    <t>Last_Permit_Operator</t>
  </si>
  <si>
    <t>Last_Permit_Lease_Name</t>
  </si>
  <si>
    <t>Total_Depth</t>
  </si>
  <si>
    <t>Surface_Location</t>
  </si>
  <si>
    <t>Abstract</t>
  </si>
  <si>
    <t>Survey</t>
  </si>
  <si>
    <t>Block</t>
  </si>
  <si>
    <t>Section</t>
  </si>
  <si>
    <t>Distance1</t>
  </si>
  <si>
    <t>Direction1</t>
  </si>
  <si>
    <t>Distance2</t>
  </si>
  <si>
    <t>Direction2</t>
  </si>
  <si>
    <t>Proration_Schedule</t>
  </si>
  <si>
    <t>District</t>
  </si>
  <si>
    <t>LeaseID</t>
  </si>
  <si>
    <t>Operator_Number</t>
  </si>
  <si>
    <t>Operator</t>
  </si>
  <si>
    <t>Lease_Name</t>
  </si>
  <si>
    <t>Field</t>
  </si>
  <si>
    <t>Well_No</t>
  </si>
  <si>
    <t>Well_Type</t>
  </si>
  <si>
    <t>On_Schedule</t>
  </si>
  <si>
    <t>plugDate</t>
  </si>
  <si>
    <t>plugDepth</t>
  </si>
  <si>
    <t>plugOperator</t>
  </si>
  <si>
    <t>plugLeasename</t>
  </si>
  <si>
    <t>Dry Hole</t>
  </si>
  <si>
    <t>Commission`s hardcopy map</t>
  </si>
  <si>
    <t>Plugged Oil Well</t>
  </si>
  <si>
    <t>U.S.G.S 7.5-min. quadrangle or aerial photograph</t>
  </si>
  <si>
    <t>PLUG</t>
  </si>
  <si>
    <t>Land</t>
  </si>
  <si>
    <t>OIL</t>
  </si>
  <si>
    <t>7C</t>
  </si>
  <si>
    <t>EL CINCO PRODUCTION COMPANY</t>
  </si>
  <si>
    <t>JOHNS C. D. -A-</t>
  </si>
  <si>
    <t>EL CINCO (DEVONIAN)</t>
  </si>
  <si>
    <t xml:space="preserve">   1 T</t>
  </si>
  <si>
    <t>HISTORY</t>
  </si>
  <si>
    <t>NO</t>
  </si>
  <si>
    <t>EL CINCO (DETRITAL)</t>
  </si>
  <si>
    <t xml:space="preserve">   1 C</t>
  </si>
  <si>
    <t>OCCIDENTAL PERMIAN LTD.</t>
  </si>
  <si>
    <t>CROSSETT S. (DETRITAL)</t>
  </si>
  <si>
    <t>MAGNATEX CORPORATION-OIL DIV.</t>
  </si>
  <si>
    <t>CROSSETT S. (DEVONIAN)</t>
  </si>
  <si>
    <t xml:space="preserve">   2 T</t>
  </si>
  <si>
    <t>SHELL WESTERN E&amp;P INC.</t>
  </si>
  <si>
    <t>JOHNS C. D.</t>
  </si>
  <si>
    <t>HISTORIC</t>
  </si>
  <si>
    <t>Oil Well</t>
  </si>
  <si>
    <t>Coordinates - Operator reported</t>
  </si>
  <si>
    <t>OPEN</t>
  </si>
  <si>
    <t>SOUTH CROSS UNIT</t>
  </si>
  <si>
    <t>H&amp;TC RR CO/RENNOLDS T M</t>
  </si>
  <si>
    <t>NW</t>
  </si>
  <si>
    <t>NE</t>
  </si>
  <si>
    <t xml:space="preserve">   3 T</t>
  </si>
  <si>
    <t xml:space="preserve">   3 C</t>
  </si>
  <si>
    <t>PRODUCING</t>
  </si>
  <si>
    <t>YES</t>
  </si>
  <si>
    <t>GULF OIL CORP.</t>
  </si>
  <si>
    <t xml:space="preserve">   6 T</t>
  </si>
  <si>
    <t>Injection / Disposal from Oil</t>
  </si>
  <si>
    <t>SHUT IN</t>
  </si>
  <si>
    <t>188G</t>
  </si>
  <si>
    <t>SHELL OIL COMPANY</t>
  </si>
  <si>
    <t>WOOD SANDERS</t>
  </si>
  <si>
    <t xml:space="preserve"> 188G </t>
  </si>
  <si>
    <t>GRIFFITH</t>
  </si>
  <si>
    <t xml:space="preserve"> 170G </t>
  </si>
  <si>
    <t>169G</t>
  </si>
  <si>
    <t xml:space="preserve"> 169G </t>
  </si>
  <si>
    <t>INJECTION</t>
  </si>
  <si>
    <t>HOBBS -L-</t>
  </si>
  <si>
    <t xml:space="preserve">   2 C</t>
  </si>
  <si>
    <t xml:space="preserve"> 171 L</t>
  </si>
  <si>
    <t>172G</t>
  </si>
  <si>
    <t xml:space="preserve"> 172G </t>
  </si>
  <si>
    <t xml:space="preserve"> 172 L</t>
  </si>
  <si>
    <t xml:space="preserve">   4 T</t>
  </si>
  <si>
    <t xml:space="preserve">   4 C</t>
  </si>
  <si>
    <t xml:space="preserve"> 162 U</t>
  </si>
  <si>
    <t xml:space="preserve">   5 T</t>
  </si>
  <si>
    <t xml:space="preserve">   5 C</t>
  </si>
  <si>
    <t xml:space="preserve"> 173 U</t>
  </si>
  <si>
    <t>163G</t>
  </si>
  <si>
    <t xml:space="preserve"> 163G </t>
  </si>
  <si>
    <t>174G</t>
  </si>
  <si>
    <t xml:space="preserve"> 174G </t>
  </si>
  <si>
    <t>JOHNS C. D. -24-</t>
  </si>
  <si>
    <t xml:space="preserve"> 194 U</t>
  </si>
  <si>
    <t xml:space="preserve">   6 C</t>
  </si>
  <si>
    <t xml:space="preserve">   7 T</t>
  </si>
  <si>
    <t xml:space="preserve">   7 C</t>
  </si>
  <si>
    <t>145GC</t>
  </si>
  <si>
    <t>WOOD -D-</t>
  </si>
  <si>
    <t xml:space="preserve"> 145GC</t>
  </si>
  <si>
    <t>186G</t>
  </si>
  <si>
    <t>Injection / Disposal from Oil/Gas</t>
  </si>
  <si>
    <t>WOOD-AMACKER</t>
  </si>
  <si>
    <t xml:space="preserve"> 186 U</t>
  </si>
  <si>
    <t xml:space="preserve"> 186G </t>
  </si>
  <si>
    <t>179G</t>
  </si>
  <si>
    <t>WOOD COWDEN</t>
  </si>
  <si>
    <t>WOOD-COWDEN</t>
  </si>
  <si>
    <t xml:space="preserve"> 179 U</t>
  </si>
  <si>
    <t xml:space="preserve"> 179G </t>
  </si>
  <si>
    <t xml:space="preserve"> 187 C</t>
  </si>
  <si>
    <t xml:space="preserve"> 178 U</t>
  </si>
  <si>
    <t xml:space="preserve"> 178 L</t>
  </si>
  <si>
    <t>177G</t>
  </si>
  <si>
    <t xml:space="preserve"> 177G </t>
  </si>
  <si>
    <t xml:space="preserve"> 176 U</t>
  </si>
  <si>
    <t xml:space="preserve"> 176G </t>
  </si>
  <si>
    <t>WOOD-MANN</t>
  </si>
  <si>
    <t xml:space="preserve"> 180 U</t>
  </si>
  <si>
    <t xml:space="preserve"> 180 L</t>
  </si>
  <si>
    <t>181G</t>
  </si>
  <si>
    <t xml:space="preserve"> 181G </t>
  </si>
  <si>
    <t xml:space="preserve"> 182 U</t>
  </si>
  <si>
    <t>183G</t>
  </si>
  <si>
    <t xml:space="preserve"> 183 U</t>
  </si>
  <si>
    <t xml:space="preserve"> 183G </t>
  </si>
  <si>
    <t xml:space="preserve"> 189 U</t>
  </si>
  <si>
    <t xml:space="preserve"> 189 L</t>
  </si>
  <si>
    <t xml:space="preserve"> 190 U</t>
  </si>
  <si>
    <t xml:space="preserve"> 190 L</t>
  </si>
  <si>
    <t>1D</t>
  </si>
  <si>
    <t>Injection / Disposal</t>
  </si>
  <si>
    <t>ENERGY TRANSFER COMPANY</t>
  </si>
  <si>
    <t>TIPPETT PLANT</t>
  </si>
  <si>
    <t>EL CINCO (LEONARD LOWER)</t>
  </si>
  <si>
    <t xml:space="preserve">   1D </t>
  </si>
  <si>
    <t>TEXACO INC.</t>
  </si>
  <si>
    <t>WOOD W. A. NCT-1</t>
  </si>
  <si>
    <t>DRY</t>
  </si>
  <si>
    <t>WOODS W. A.</t>
  </si>
  <si>
    <t>Plugged Oil / Gas</t>
  </si>
  <si>
    <t>GAS</t>
  </si>
  <si>
    <t>151GR</t>
  </si>
  <si>
    <t xml:space="preserve"> 151G </t>
  </si>
  <si>
    <t xml:space="preserve">  15 L</t>
  </si>
  <si>
    <t>WOOD W. A.</t>
  </si>
  <si>
    <t xml:space="preserve">  15 C</t>
  </si>
  <si>
    <t xml:space="preserve"> 151 C</t>
  </si>
  <si>
    <t xml:space="preserve"> 151GR</t>
  </si>
  <si>
    <t xml:space="preserve"> 151 L</t>
  </si>
  <si>
    <t xml:space="preserve">  16 L</t>
  </si>
  <si>
    <t xml:space="preserve">  16 U</t>
  </si>
  <si>
    <t>SHELL WESTERN E &amp; P INC.</t>
  </si>
  <si>
    <t>H &amp; TC RR CO/ M GOOD</t>
  </si>
  <si>
    <t xml:space="preserve">   8 U</t>
  </si>
  <si>
    <t xml:space="preserve"> 164 U</t>
  </si>
  <si>
    <t xml:space="preserve"> 164 L</t>
  </si>
  <si>
    <t xml:space="preserve"> 184 G</t>
  </si>
  <si>
    <t>CROSS JSS</t>
  </si>
  <si>
    <t>H&amp;TC RR CO</t>
  </si>
  <si>
    <t>SE</t>
  </si>
  <si>
    <t>CROSS JSS #1</t>
  </si>
  <si>
    <t>CROSSETT (2200)</t>
  </si>
  <si>
    <t>194R</t>
  </si>
  <si>
    <t>H&amp;TC RR CO.</t>
  </si>
  <si>
    <t xml:space="preserve"> 194R </t>
  </si>
  <si>
    <t xml:space="preserve"> 194RU</t>
  </si>
  <si>
    <t xml:space="preserve"> 194RL</t>
  </si>
  <si>
    <t>188GR</t>
  </si>
  <si>
    <t xml:space="preserve"> 188GR</t>
  </si>
  <si>
    <t>SHARP IMAGE ENERGY INC.</t>
  </si>
  <si>
    <t>FALCON</t>
  </si>
  <si>
    <t>H. &amp; T. C. R.R. CO.</t>
  </si>
  <si>
    <t>N</t>
  </si>
  <si>
    <t>SHARP IMAGE (DETRITAL)</t>
  </si>
  <si>
    <t>HUBER (DETRITAL)</t>
  </si>
  <si>
    <t>PHOENIX</t>
  </si>
  <si>
    <t>H. &amp; T. C. RR. CO.</t>
  </si>
  <si>
    <t>S</t>
  </si>
  <si>
    <t>TOMAHAWK</t>
  </si>
  <si>
    <t>SW (RIVER)</t>
  </si>
  <si>
    <t>WARPOINT</t>
  </si>
  <si>
    <t>H. &amp; T. C. RR CO.</t>
  </si>
  <si>
    <t>S (RIVER)</t>
  </si>
  <si>
    <t>E</t>
  </si>
  <si>
    <t>SEAY EXPLORATION INC.</t>
  </si>
  <si>
    <t>H. &amp; T.C. RR CO.</t>
  </si>
  <si>
    <t>PHOENIX 2</t>
  </si>
  <si>
    <t>Permitted Location</t>
  </si>
  <si>
    <t>LOCATION</t>
  </si>
  <si>
    <t>TOMA HAWK</t>
  </si>
  <si>
    <t>H. &amp; T.C. RR. CO.</t>
  </si>
  <si>
    <t>Operator reported location - Distances and Plat</t>
  </si>
  <si>
    <t>H &amp; T.C. RR CO.</t>
  </si>
  <si>
    <t>ALTURA ENERGY LTD.</t>
  </si>
  <si>
    <t>H &amp; T C RR CO/M GOOD</t>
  </si>
  <si>
    <t>H &amp; TC RR CO.</t>
  </si>
  <si>
    <t>H &amp; TC RR CO./T. M. REYNOLDS</t>
  </si>
  <si>
    <t>TEXACO E &amp; P INC.</t>
  </si>
  <si>
    <t>LIFTOFF SOUTH 27-31 'A'</t>
  </si>
  <si>
    <t>LIFTOFF SOUTH 27-31 "A"</t>
  </si>
  <si>
    <t>H&amp;TC RR CO./ T. M. RENNOLDS</t>
  </si>
  <si>
    <t>H&amp;T RR CO/M.GOOD</t>
  </si>
  <si>
    <t>JOHNS C D -A-</t>
  </si>
  <si>
    <t>H &amp; TC RR CO / TM RENNOLDS</t>
  </si>
  <si>
    <t>191R</t>
  </si>
  <si>
    <t xml:space="preserve"> 191R </t>
  </si>
  <si>
    <t>Directional Surface Location</t>
  </si>
  <si>
    <t>NORTHEAST</t>
  </si>
  <si>
    <t>NORTHWEST</t>
  </si>
  <si>
    <t>H&amp;TC RR CO / RENNOLDS T M</t>
  </si>
  <si>
    <t>SOUTHEAST</t>
  </si>
  <si>
    <t>H&amp;TC RR CO/ RENNOLDS T M</t>
  </si>
  <si>
    <t>H&amp;TC RR CO/GOOD M</t>
  </si>
  <si>
    <t>SW</t>
  </si>
  <si>
    <t>1A</t>
  </si>
  <si>
    <t>2B</t>
  </si>
  <si>
    <t>2D</t>
  </si>
  <si>
    <t>MAGNATEX PETROLEUM COMPANY</t>
  </si>
  <si>
    <t>PRICE RUTH MARY -A-</t>
  </si>
  <si>
    <t>SUN EXPL. &amp; PROD. CO.-MIDLAND</t>
  </si>
  <si>
    <t>PECOS RIVER BED</t>
  </si>
  <si>
    <t>OLSEN ENERGY INC.</t>
  </si>
  <si>
    <t>PRICE</t>
  </si>
  <si>
    <t>TEXAS OIL &amp; GAS CORP.</t>
  </si>
  <si>
    <t>PRICE "E"</t>
  </si>
  <si>
    <t>Oil/Gas Well</t>
  </si>
  <si>
    <t>MAMMOTH EXPLORATION LLC</t>
  </si>
  <si>
    <t>PRICE -8-</t>
  </si>
  <si>
    <t>H&amp;GN RR CO / BROOKS M E</t>
  </si>
  <si>
    <t>SAGUARO PETROLEUM LLC</t>
  </si>
  <si>
    <t>EL CINCO (MCKEE)</t>
  </si>
  <si>
    <t>Mainframe WELLBORE distances</t>
  </si>
  <si>
    <t>PRICE R. M. NCT-1</t>
  </si>
  <si>
    <t>1B</t>
  </si>
  <si>
    <t>H &amp; O OPERATING CO. INC.</t>
  </si>
  <si>
    <t>PRICE R. M. -B-</t>
  </si>
  <si>
    <t>PRICE R. M. -C- NCT-1</t>
  </si>
  <si>
    <t xml:space="preserve">   2 U</t>
  </si>
  <si>
    <t>PRICE R. M. "B"</t>
  </si>
  <si>
    <t>H &amp; GN RR CO./M. E. BROOKS</t>
  </si>
  <si>
    <t>PRICE RUTH ET AL "E"</t>
  </si>
  <si>
    <t>H &amp; GN RR CO.</t>
  </si>
  <si>
    <t>W</t>
  </si>
  <si>
    <t>MOONLITE OIL &amp; GAS COMPANY</t>
  </si>
  <si>
    <t>CHEVRON U. S. A. INC.</t>
  </si>
  <si>
    <t>H &amp; GN RR CO</t>
  </si>
  <si>
    <t xml:space="preserve">   1 L</t>
  </si>
  <si>
    <t xml:space="preserve">   1 U</t>
  </si>
  <si>
    <t>PRICE RUTH ETAL -E-</t>
  </si>
  <si>
    <t>1J</t>
  </si>
  <si>
    <t>PRICE R. M. NCT-2</t>
  </si>
  <si>
    <t xml:space="preserve">   1 J</t>
  </si>
  <si>
    <t>MABEE PETROLEUM CORP.</t>
  </si>
  <si>
    <t>SHELL-PRICE</t>
  </si>
  <si>
    <t>SHELL PRICE</t>
  </si>
  <si>
    <t>PRICE SHELL</t>
  </si>
  <si>
    <t>TWINS OIL CO.</t>
  </si>
  <si>
    <t>EL CINCO (WICHITA ALBANY MID.)</t>
  </si>
  <si>
    <t>NO PRODUCTION</t>
  </si>
  <si>
    <t>Gas Well</t>
  </si>
  <si>
    <t>DARKENS OIL &amp; GAS INC.</t>
  </si>
  <si>
    <t>PRICE RUTH MARY -B-</t>
  </si>
  <si>
    <t>TEMP ABANDONED</t>
  </si>
  <si>
    <t>HUBER J. M. CORPORATION</t>
  </si>
  <si>
    <t>EL CINCO (WICHITA ALBANY)</t>
  </si>
  <si>
    <t>Plugged Gas Well</t>
  </si>
  <si>
    <t xml:space="preserve">   2 H</t>
  </si>
  <si>
    <t xml:space="preserve">   2 J</t>
  </si>
  <si>
    <t>PRICE R. M. -B- NCT -1</t>
  </si>
  <si>
    <t>PRICE RUTH ET AL "D"</t>
  </si>
  <si>
    <t>H&amp;GN RR CO</t>
  </si>
  <si>
    <t>PRICE RUTH ETAL -D-</t>
  </si>
  <si>
    <t>PRICE RUTH GAS UNIT NO. 1</t>
  </si>
  <si>
    <t>AUSTEX PETROLEUM CORP.</t>
  </si>
  <si>
    <t>TXO-SHELL</t>
  </si>
  <si>
    <t>TXO PRODUCTION CORP.</t>
  </si>
  <si>
    <t>PRICE "8"</t>
  </si>
  <si>
    <t>H&amp;GN RR CO/M E BROOKS</t>
  </si>
  <si>
    <t xml:space="preserve">   3 U</t>
  </si>
  <si>
    <t>PRICE RUTH ET AL "D" (NCT-B)</t>
  </si>
  <si>
    <t>H &amp; G N RR. CO.</t>
  </si>
  <si>
    <t>PRICE RUTH ET AL -D- /NCT-B/</t>
  </si>
  <si>
    <t xml:space="preserve">   3 L</t>
  </si>
  <si>
    <t>MEXCO ENERGY CORPORATION</t>
  </si>
  <si>
    <t>PRICE RUTH MARY -C-</t>
  </si>
  <si>
    <t>2C</t>
  </si>
  <si>
    <t>ARCO</t>
  </si>
  <si>
    <t>H &amp; GN</t>
  </si>
  <si>
    <t>SL</t>
  </si>
  <si>
    <t>WL</t>
  </si>
  <si>
    <t xml:space="preserve">   2C </t>
  </si>
  <si>
    <t>HUNTINGTON ENERGY L.L.C.</t>
  </si>
  <si>
    <t>PRICE RUTH</t>
  </si>
  <si>
    <t>SABER OIL &amp; GAS VENTURES LLC</t>
  </si>
  <si>
    <t>MARY RUTH PRICE</t>
  </si>
  <si>
    <t>B P ARCO</t>
  </si>
  <si>
    <t>TRANSIERRA EXPLORATION CORP.</t>
  </si>
  <si>
    <t>BISON-PRICE</t>
  </si>
  <si>
    <t>PRICE BISON</t>
  </si>
  <si>
    <t>PRICE -12-</t>
  </si>
  <si>
    <t>PRICE RUTH ET AL -L-</t>
  </si>
  <si>
    <t>PRICE -A-</t>
  </si>
  <si>
    <t xml:space="preserve">   1A </t>
  </si>
  <si>
    <t>H &amp; O OPERATING CO</t>
  </si>
  <si>
    <t>PRICE R. M. "B" NCT-1</t>
  </si>
  <si>
    <t>PRICE R. M. -B- NCT-1</t>
  </si>
  <si>
    <t>KNEUPPER OIL LLC</t>
  </si>
  <si>
    <t>PRICE 'B'</t>
  </si>
  <si>
    <t>PRICE -B-</t>
  </si>
  <si>
    <t>Operator reported location - Distances w/o Plat or Plat w/o Distances</t>
  </si>
  <si>
    <t xml:space="preserve">   2A </t>
  </si>
  <si>
    <t>PRICE '2'</t>
  </si>
  <si>
    <t>RAIDER OIL &amp; GAS COMPANY</t>
  </si>
  <si>
    <t>PRICE "2"</t>
  </si>
  <si>
    <t>PRICE "O"</t>
  </si>
  <si>
    <t>PRICE RUTH MARY "C"</t>
  </si>
  <si>
    <t>PECOS</t>
  </si>
  <si>
    <t>H&amp;GN RR CO.</t>
  </si>
  <si>
    <t>HUBER (DETRITAL 5150)</t>
  </si>
  <si>
    <t>NEW ATLANTIS II LLC</t>
  </si>
  <si>
    <t>N. &amp; G.N. RR. CO</t>
  </si>
  <si>
    <t>RIVER</t>
  </si>
  <si>
    <t>SOUTH</t>
  </si>
  <si>
    <t>WEST</t>
  </si>
  <si>
    <t>EAGLE</t>
  </si>
  <si>
    <t>H. &amp; G.N. R.R. CO.</t>
  </si>
  <si>
    <t>HAWK</t>
  </si>
  <si>
    <t>H. &amp; G. N. R.R. CO.</t>
  </si>
  <si>
    <t>N(RIVER)</t>
  </si>
  <si>
    <t>SHARP IMAGE (WOLFCAMP)</t>
  </si>
  <si>
    <t xml:space="preserve">   2-C</t>
  </si>
  <si>
    <t xml:space="preserve">   2T </t>
  </si>
  <si>
    <t>H. &amp; G. N. RR. CO.</t>
  </si>
  <si>
    <t>ARROWHEAD</t>
  </si>
  <si>
    <t>H &amp; G.N. RR. CO.</t>
  </si>
  <si>
    <t xml:space="preserve">   1C </t>
  </si>
  <si>
    <t xml:space="preserve">   1T </t>
  </si>
  <si>
    <t>BIRDPOINT</t>
  </si>
  <si>
    <t>NORTH</t>
  </si>
  <si>
    <t>EAST</t>
  </si>
  <si>
    <t>3W</t>
  </si>
  <si>
    <t>PRICE -9-</t>
  </si>
  <si>
    <t>PRICE "F"</t>
  </si>
  <si>
    <t xml:space="preserve">   3W </t>
  </si>
  <si>
    <t>PRICE MARY</t>
  </si>
  <si>
    <t>PRICE "6"</t>
  </si>
  <si>
    <t>H. &amp; G. N. RR. CO. / M. E. BROOKS</t>
  </si>
  <si>
    <t>PRICE 6</t>
  </si>
  <si>
    <t>MARY RUTH PRICE 'B'</t>
  </si>
  <si>
    <t>H&amp;GN RR CO/ BROOKS M E</t>
  </si>
  <si>
    <t>N (RIVER)</t>
  </si>
  <si>
    <t>H&amp;GN RR CO/BROOKS M E</t>
  </si>
  <si>
    <t>Canceled / Abandoned Location</t>
  </si>
  <si>
    <t>NW (RIVER)</t>
  </si>
  <si>
    <t>user_format_well_id</t>
  </si>
  <si>
    <t>Well_Name</t>
  </si>
  <si>
    <t xml:space="preserve">8-5 </t>
  </si>
  <si>
    <t xml:space="preserve">9-1 </t>
  </si>
  <si>
    <t xml:space="preserve">8-8 </t>
  </si>
  <si>
    <t xml:space="preserve">8-9 </t>
  </si>
  <si>
    <t xml:space="preserve">8-11 </t>
  </si>
  <si>
    <t xml:space="preserve">8-1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</si>
</sst>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rgb="FF566B70"/>
      <name val="Segoe UI"/>
      <family val="2"/>
    </font>
    <font>
      <sz val="8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6" fillId="33" borderId="0" xfId="0" applyFont="1" applyFill="1" applyAlignment="1">
      <alignment horizontal="center"/>
    </xf>
    <xf numFmtId="0" fontId="16" fillId="33" borderId="0" xfId="0" applyFont="1" applyFill="1"/>
    <xf numFmtId="0" fontId="18" fillId="34" borderId="0" xfId="0" applyFont="1" applyFill="1"/>
    <xf numFmtId="0" fontId="0" fillId="34" borderId="0" xfId="0" applyFill="1"/>
    <xf numFmtId="0" fontId="16" fillId="35" borderId="0" xfId="0" applyFont="1" applyFill="1" applyAlignment="1">
      <alignment horizontal="center"/>
    </xf>
    <xf numFmtId="49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1F55B-79C6-457A-A674-391CF09C647E}">
  <sheetPr>
    <tabColor rgb="FFFFFF00"/>
  </sheetPr>
  <dimension ref="A1:AO401"/>
  <sheetViews>
    <sheetView tabSelected="1" workbookViewId="0">
      <pane xSplit="1" ySplit="1" topLeftCell="AI367" activePane="bottomRight" state="frozen"/>
      <selection pane="topRight" activeCell="B1" sqref="B1"/>
      <selection pane="bottomLeft" activeCell="A2" sqref="A2"/>
      <selection pane="bottomRight" activeCell="AK405" sqref="AK405"/>
    </sheetView>
  </sheetViews>
  <sheetFormatPr defaultRowHeight="14.5" x14ac:dyDescent="0.35"/>
  <cols>
    <col min="1" max="2" width="13.1796875" style="3" customWidth="1"/>
    <col min="3" max="3" width="13.453125" bestFit="1" customWidth="1"/>
    <col min="4" max="4" width="30.54296875" bestFit="1" customWidth="1"/>
    <col min="5" max="5" width="7.7265625" bestFit="1" customWidth="1"/>
    <col min="6" max="6" width="8.7265625" customWidth="1"/>
    <col min="7" max="7" width="63.1796875" bestFit="1" customWidth="1"/>
    <col min="8" max="8" width="15.453125" customWidth="1"/>
    <col min="9" max="9" width="18.1796875" customWidth="1"/>
    <col min="10" max="10" width="12" bestFit="1" customWidth="1"/>
    <col min="11" max="11" width="13.453125" bestFit="1" customWidth="1"/>
    <col min="12" max="12" width="16" bestFit="1" customWidth="1"/>
    <col min="13" max="13" width="18.7265625" bestFit="1" customWidth="1"/>
    <col min="14" max="14" width="29.1796875" bestFit="1" customWidth="1"/>
    <col min="15" max="15" width="31" bestFit="1" customWidth="1"/>
    <col min="16" max="16" width="27" customWidth="1"/>
    <col min="17" max="17" width="11.81640625" customWidth="1"/>
    <col min="18" max="18" width="16.54296875" customWidth="1"/>
    <col min="19" max="19" width="8.453125" customWidth="1"/>
    <col min="20" max="20" width="30.26953125" customWidth="1"/>
    <col min="21" max="21" width="5.81640625" customWidth="1"/>
    <col min="22" max="22" width="7.81640625" customWidth="1"/>
    <col min="23" max="23" width="10" customWidth="1"/>
    <col min="24" max="24" width="12" customWidth="1"/>
    <col min="25" max="25" width="10" customWidth="1"/>
    <col min="26" max="26" width="12" customWidth="1"/>
    <col min="27" max="27" width="18.81640625" customWidth="1"/>
    <col min="28" max="28" width="7.7265625" customWidth="1"/>
    <col min="29" max="29" width="8.26953125" customWidth="1"/>
    <col min="30" max="30" width="17.453125" bestFit="1" customWidth="1"/>
    <col min="31" max="31" width="32.453125" bestFit="1" customWidth="1"/>
    <col min="32" max="32" width="27" bestFit="1" customWidth="1"/>
    <col min="33" max="33" width="30.54296875" bestFit="1" customWidth="1"/>
    <col min="34" max="34" width="8.54296875" bestFit="1" customWidth="1"/>
    <col min="35" max="35" width="18.453125" style="7" bestFit="1" customWidth="1"/>
    <col min="36" max="36" width="17.7265625" bestFit="1" customWidth="1"/>
    <col min="37" max="37" width="12.81640625" bestFit="1" customWidth="1"/>
    <col min="38" max="39" width="10.453125" bestFit="1" customWidth="1"/>
    <col min="40" max="40" width="31" bestFit="1" customWidth="1"/>
    <col min="41" max="41" width="22.81640625" bestFit="1" customWidth="1"/>
  </cols>
  <sheetData>
    <row r="1" spans="1:41" s="2" customFormat="1" ht="16" x14ac:dyDescent="0.45">
      <c r="A1" s="8" t="s">
        <v>0</v>
      </c>
      <c r="B1" s="8" t="s">
        <v>367</v>
      </c>
      <c r="C1" s="8" t="s">
        <v>1</v>
      </c>
      <c r="D1" s="8" t="s">
        <v>2</v>
      </c>
      <c r="E1" s="2" t="s">
        <v>3</v>
      </c>
      <c r="F1" s="2" t="s">
        <v>4</v>
      </c>
      <c r="G1" s="8" t="s">
        <v>5</v>
      </c>
      <c r="H1" s="2" t="s">
        <v>6</v>
      </c>
      <c r="I1" s="2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8" t="s">
        <v>28</v>
      </c>
      <c r="AE1" s="8" t="s">
        <v>29</v>
      </c>
      <c r="AF1" s="8" t="s">
        <v>30</v>
      </c>
      <c r="AG1" s="8" t="s">
        <v>31</v>
      </c>
      <c r="AH1" s="8" t="s">
        <v>32</v>
      </c>
      <c r="AI1" s="6" t="s">
        <v>366</v>
      </c>
      <c r="AJ1" s="8" t="s">
        <v>33</v>
      </c>
      <c r="AK1" s="2" t="s">
        <v>34</v>
      </c>
      <c r="AL1" s="8" t="s">
        <v>35</v>
      </c>
      <c r="AM1" s="8" t="s">
        <v>36</v>
      </c>
      <c r="AN1" s="2" t="s">
        <v>37</v>
      </c>
      <c r="AO1" s="2" t="s">
        <v>38</v>
      </c>
    </row>
    <row r="2" spans="1:41" x14ac:dyDescent="0.35">
      <c r="A2" s="3">
        <v>105</v>
      </c>
      <c r="B2" s="3" t="str">
        <f>AB2&amp;"-"&amp;AH2&amp;"-"&amp;C2</f>
        <v>--1</v>
      </c>
      <c r="C2">
        <v>1</v>
      </c>
      <c r="D2" t="s">
        <v>39</v>
      </c>
      <c r="E2">
        <v>3</v>
      </c>
      <c r="F2">
        <v>15</v>
      </c>
      <c r="G2" t="s">
        <v>40</v>
      </c>
      <c r="H2">
        <v>31.053898360000002</v>
      </c>
      <c r="I2" t="str">
        <f>"-102.24940098"</f>
        <v>-102.24940098</v>
      </c>
      <c r="J2">
        <v>31.054048810000001</v>
      </c>
      <c r="K2" t="str">
        <f>"-102.24981542"</f>
        <v>-102.24981542</v>
      </c>
      <c r="AI2" s="7" t="str">
        <f t="shared" ref="AI2:AI65" si="0">A2&amp;"_"&amp;AB2&amp;"_"&amp;AH2&amp;"_"&amp;C2</f>
        <v>105___1</v>
      </c>
    </row>
    <row r="3" spans="1:41" x14ac:dyDescent="0.35">
      <c r="A3" s="3">
        <v>105</v>
      </c>
      <c r="B3" s="3" t="str">
        <f t="shared" ref="B3:B66" si="1">AB3&amp;"-"&amp;AH3&amp;"-"&amp;C3</f>
        <v>--1</v>
      </c>
      <c r="C3">
        <v>1</v>
      </c>
      <c r="D3" t="s">
        <v>39</v>
      </c>
      <c r="E3">
        <v>3</v>
      </c>
      <c r="F3">
        <v>15</v>
      </c>
      <c r="G3" t="s">
        <v>40</v>
      </c>
      <c r="H3">
        <v>31.042999900000002</v>
      </c>
      <c r="I3" t="str">
        <f>"-102.2446788"</f>
        <v>-102.2446788</v>
      </c>
      <c r="J3">
        <v>31.043150690000001</v>
      </c>
      <c r="K3" t="str">
        <f>"-102.24509296"</f>
        <v>-102.24509296</v>
      </c>
      <c r="AI3" s="7" t="str">
        <f t="shared" si="0"/>
        <v>105___1</v>
      </c>
    </row>
    <row r="4" spans="1:41" x14ac:dyDescent="0.35">
      <c r="A4" s="3">
        <v>105</v>
      </c>
      <c r="B4" s="3" t="str">
        <f t="shared" si="1"/>
        <v>--2</v>
      </c>
      <c r="C4">
        <v>2</v>
      </c>
      <c r="D4" t="s">
        <v>39</v>
      </c>
      <c r="E4">
        <v>3</v>
      </c>
      <c r="F4">
        <v>15</v>
      </c>
      <c r="G4" t="s">
        <v>40</v>
      </c>
      <c r="H4">
        <v>31.049113599999998</v>
      </c>
      <c r="I4" t="str">
        <f>"-102.2374382"</f>
        <v>-102.2374382</v>
      </c>
      <c r="J4">
        <v>31.049264260000001</v>
      </c>
      <c r="K4" t="str">
        <f>"-102.23785232"</f>
        <v>-102.23785232</v>
      </c>
      <c r="AI4" s="7" t="str">
        <f t="shared" si="0"/>
        <v>105___2</v>
      </c>
    </row>
    <row r="5" spans="1:41" x14ac:dyDescent="0.35">
      <c r="A5" s="3">
        <v>10500836</v>
      </c>
      <c r="B5" s="3" t="str">
        <f t="shared" si="1"/>
        <v>7C-   1 T-1</v>
      </c>
      <c r="C5">
        <v>1</v>
      </c>
      <c r="D5" t="s">
        <v>41</v>
      </c>
      <c r="E5">
        <v>7</v>
      </c>
      <c r="F5">
        <v>50</v>
      </c>
      <c r="G5" t="s">
        <v>42</v>
      </c>
      <c r="H5">
        <v>31.048959329999999</v>
      </c>
      <c r="I5" t="str">
        <f>"-102.26148317"</f>
        <v>-102.26148317</v>
      </c>
      <c r="J5">
        <v>31.049109789999999</v>
      </c>
      <c r="K5" t="str">
        <f>"-102.26189788"</f>
        <v>-102.26189788</v>
      </c>
      <c r="L5" t="s">
        <v>43</v>
      </c>
      <c r="Q5">
        <v>5313</v>
      </c>
      <c r="R5" t="s">
        <v>44</v>
      </c>
      <c r="AA5" t="s">
        <v>45</v>
      </c>
      <c r="AB5" t="s">
        <v>46</v>
      </c>
      <c r="AC5" t="str">
        <f>"03697"</f>
        <v>03697</v>
      </c>
      <c r="AD5">
        <v>246720</v>
      </c>
      <c r="AE5" t="s">
        <v>47</v>
      </c>
      <c r="AF5" t="s">
        <v>48</v>
      </c>
      <c r="AG5" t="s">
        <v>49</v>
      </c>
      <c r="AH5" t="s">
        <v>50</v>
      </c>
      <c r="AI5" s="7" t="str">
        <f t="shared" si="0"/>
        <v>10500836_7C_   1 T_1</v>
      </c>
      <c r="AJ5" t="s">
        <v>51</v>
      </c>
      <c r="AK5" t="s">
        <v>52</v>
      </c>
      <c r="AL5" s="1">
        <v>35574</v>
      </c>
      <c r="AM5">
        <v>5303</v>
      </c>
    </row>
    <row r="6" spans="1:41" x14ac:dyDescent="0.35">
      <c r="A6" s="3">
        <v>10500836</v>
      </c>
      <c r="B6" s="3" t="str">
        <f t="shared" si="1"/>
        <v>7C-   1 C-1</v>
      </c>
      <c r="C6">
        <v>1</v>
      </c>
      <c r="D6" t="s">
        <v>41</v>
      </c>
      <c r="E6">
        <v>7</v>
      </c>
      <c r="F6">
        <v>50</v>
      </c>
      <c r="G6" t="s">
        <v>42</v>
      </c>
      <c r="H6">
        <v>31.048959329999999</v>
      </c>
      <c r="I6" t="str">
        <f>"-102.26148317"</f>
        <v>-102.26148317</v>
      </c>
      <c r="J6">
        <v>31.049109789999999</v>
      </c>
      <c r="K6" t="str">
        <f>"-102.26189788"</f>
        <v>-102.26189788</v>
      </c>
      <c r="L6" t="s">
        <v>43</v>
      </c>
      <c r="Q6">
        <v>5313</v>
      </c>
      <c r="R6" t="s">
        <v>44</v>
      </c>
      <c r="AA6" t="s">
        <v>45</v>
      </c>
      <c r="AB6" t="s">
        <v>46</v>
      </c>
      <c r="AC6" t="str">
        <f>"03793"</f>
        <v>03793</v>
      </c>
      <c r="AD6">
        <v>246720</v>
      </c>
      <c r="AE6" t="s">
        <v>47</v>
      </c>
      <c r="AG6" t="s">
        <v>53</v>
      </c>
      <c r="AH6" t="s">
        <v>54</v>
      </c>
      <c r="AI6" s="7" t="str">
        <f t="shared" si="0"/>
        <v>10500836_7C_   1 C_1</v>
      </c>
      <c r="AJ6" t="s">
        <v>51</v>
      </c>
      <c r="AK6" t="s">
        <v>52</v>
      </c>
      <c r="AL6" s="1">
        <v>35574</v>
      </c>
      <c r="AM6">
        <v>5303</v>
      </c>
    </row>
    <row r="7" spans="1:41" x14ac:dyDescent="0.35">
      <c r="A7" s="3">
        <v>10500836</v>
      </c>
      <c r="B7" s="3" t="str">
        <f t="shared" si="1"/>
        <v>08-1-1</v>
      </c>
      <c r="C7">
        <v>1</v>
      </c>
      <c r="D7" t="s">
        <v>41</v>
      </c>
      <c r="E7">
        <v>7</v>
      </c>
      <c r="F7">
        <v>50</v>
      </c>
      <c r="G7" t="s">
        <v>42</v>
      </c>
      <c r="H7">
        <v>31.048959329999999</v>
      </c>
      <c r="I7" t="str">
        <f>"-102.26148317"</f>
        <v>-102.26148317</v>
      </c>
      <c r="J7">
        <v>31.049109789999999</v>
      </c>
      <c r="K7" t="str">
        <f>"-102.26189788"</f>
        <v>-102.26189788</v>
      </c>
      <c r="L7" t="s">
        <v>43</v>
      </c>
      <c r="Q7">
        <v>5313</v>
      </c>
      <c r="R7" t="s">
        <v>44</v>
      </c>
      <c r="AA7" t="s">
        <v>45</v>
      </c>
      <c r="AB7" t="str">
        <f>"08"</f>
        <v>08</v>
      </c>
      <c r="AC7">
        <v>21740</v>
      </c>
      <c r="AD7">
        <v>617544</v>
      </c>
      <c r="AE7" t="s">
        <v>55</v>
      </c>
      <c r="AF7" t="s">
        <v>48</v>
      </c>
      <c r="AG7" t="s">
        <v>56</v>
      </c>
      <c r="AH7">
        <v>1</v>
      </c>
      <c r="AI7" s="7" t="str">
        <f t="shared" si="0"/>
        <v>10500836_08_1_1</v>
      </c>
      <c r="AJ7" t="s">
        <v>51</v>
      </c>
      <c r="AK7" t="s">
        <v>52</v>
      </c>
      <c r="AL7" s="1">
        <v>35574</v>
      </c>
      <c r="AM7">
        <v>5303</v>
      </c>
    </row>
    <row r="8" spans="1:41" x14ac:dyDescent="0.35">
      <c r="A8" s="3">
        <v>10500836</v>
      </c>
      <c r="B8" s="3" t="str">
        <f t="shared" si="1"/>
        <v>08-   1 C-1</v>
      </c>
      <c r="C8">
        <v>1</v>
      </c>
      <c r="D8" t="s">
        <v>41</v>
      </c>
      <c r="E8">
        <v>7</v>
      </c>
      <c r="F8">
        <v>50</v>
      </c>
      <c r="G8" t="s">
        <v>42</v>
      </c>
      <c r="H8">
        <v>31.048959329999999</v>
      </c>
      <c r="I8" t="str">
        <f>"-102.26148317"</f>
        <v>-102.26148317</v>
      </c>
      <c r="J8">
        <v>31.049109789999999</v>
      </c>
      <c r="K8" t="str">
        <f>"-102.26189788"</f>
        <v>-102.26189788</v>
      </c>
      <c r="L8" t="s">
        <v>43</v>
      </c>
      <c r="Q8">
        <v>5313</v>
      </c>
      <c r="R8" t="s">
        <v>44</v>
      </c>
      <c r="AA8" t="s">
        <v>45</v>
      </c>
      <c r="AB8" t="str">
        <f>"08"</f>
        <v>08</v>
      </c>
      <c r="AC8">
        <v>21740</v>
      </c>
      <c r="AD8">
        <v>617544</v>
      </c>
      <c r="AE8" t="s">
        <v>55</v>
      </c>
      <c r="AF8" t="s">
        <v>48</v>
      </c>
      <c r="AG8" t="s">
        <v>56</v>
      </c>
      <c r="AH8" t="s">
        <v>54</v>
      </c>
      <c r="AI8" s="7" t="str">
        <f t="shared" si="0"/>
        <v>10500836_08_   1 C_1</v>
      </c>
      <c r="AJ8" t="s">
        <v>51</v>
      </c>
      <c r="AK8" t="s">
        <v>52</v>
      </c>
      <c r="AL8" s="1">
        <v>35574</v>
      </c>
      <c r="AM8">
        <v>5303</v>
      </c>
    </row>
    <row r="9" spans="1:41" x14ac:dyDescent="0.35">
      <c r="A9" s="3">
        <v>10500836</v>
      </c>
      <c r="B9" s="3" t="str">
        <f t="shared" si="1"/>
        <v>08-   1 T-1</v>
      </c>
      <c r="C9">
        <v>1</v>
      </c>
      <c r="D9" t="s">
        <v>41</v>
      </c>
      <c r="E9">
        <v>7</v>
      </c>
      <c r="F9">
        <v>50</v>
      </c>
      <c r="G9" t="s">
        <v>42</v>
      </c>
      <c r="H9">
        <v>31.048959329999999</v>
      </c>
      <c r="I9" t="str">
        <f>"-102.26148317"</f>
        <v>-102.26148317</v>
      </c>
      <c r="J9">
        <v>31.049109789999999</v>
      </c>
      <c r="K9" t="str">
        <f>"-102.26189788"</f>
        <v>-102.26189788</v>
      </c>
      <c r="L9" t="s">
        <v>43</v>
      </c>
      <c r="Q9">
        <v>5313</v>
      </c>
      <c r="R9" t="s">
        <v>44</v>
      </c>
      <c r="AA9" t="s">
        <v>45</v>
      </c>
      <c r="AB9" t="str">
        <f>"08"</f>
        <v>08</v>
      </c>
      <c r="AC9">
        <v>21750</v>
      </c>
      <c r="AD9">
        <v>521450</v>
      </c>
      <c r="AE9" t="s">
        <v>57</v>
      </c>
      <c r="AF9" t="s">
        <v>48</v>
      </c>
      <c r="AG9" t="s">
        <v>58</v>
      </c>
      <c r="AH9" t="s">
        <v>50</v>
      </c>
      <c r="AI9" s="7" t="str">
        <f t="shared" si="0"/>
        <v>10500836_08_   1 T_1</v>
      </c>
      <c r="AJ9" t="s">
        <v>51</v>
      </c>
      <c r="AK9" t="s">
        <v>52</v>
      </c>
      <c r="AL9" s="1">
        <v>35574</v>
      </c>
      <c r="AM9">
        <v>5303</v>
      </c>
    </row>
    <row r="10" spans="1:41" x14ac:dyDescent="0.35">
      <c r="A10" s="3">
        <v>10500837</v>
      </c>
      <c r="B10" s="3" t="str">
        <f t="shared" si="1"/>
        <v>7C-   2 T-2</v>
      </c>
      <c r="C10">
        <v>2</v>
      </c>
      <c r="D10" t="s">
        <v>41</v>
      </c>
      <c r="E10">
        <v>7</v>
      </c>
      <c r="F10">
        <v>50</v>
      </c>
      <c r="G10" t="s">
        <v>42</v>
      </c>
      <c r="H10">
        <v>31.046020710000001</v>
      </c>
      <c r="I10" t="str">
        <f>"-102.25802054"</f>
        <v>-102.25802054</v>
      </c>
      <c r="J10">
        <v>31.046171300000001</v>
      </c>
      <c r="K10" t="str">
        <f>"-102.25843503"</f>
        <v>-102.25843503</v>
      </c>
      <c r="L10" t="s">
        <v>43</v>
      </c>
      <c r="Q10">
        <v>5208</v>
      </c>
      <c r="R10" t="s">
        <v>44</v>
      </c>
      <c r="AA10" t="s">
        <v>45</v>
      </c>
      <c r="AB10" t="s">
        <v>46</v>
      </c>
      <c r="AC10" t="str">
        <f>"03618"</f>
        <v>03618</v>
      </c>
      <c r="AD10">
        <v>246720</v>
      </c>
      <c r="AE10" t="s">
        <v>47</v>
      </c>
      <c r="AG10" t="s">
        <v>49</v>
      </c>
      <c r="AH10" t="s">
        <v>59</v>
      </c>
      <c r="AI10" s="7" t="str">
        <f t="shared" si="0"/>
        <v>10500837_7C_   2 T_2</v>
      </c>
      <c r="AJ10" t="s">
        <v>51</v>
      </c>
      <c r="AK10" t="s">
        <v>52</v>
      </c>
      <c r="AL10" s="1">
        <v>34892</v>
      </c>
      <c r="AM10">
        <v>5570</v>
      </c>
    </row>
    <row r="11" spans="1:41" x14ac:dyDescent="0.35">
      <c r="A11" s="3">
        <v>10500837</v>
      </c>
      <c r="B11" s="3" t="str">
        <f t="shared" si="1"/>
        <v>08-2-2</v>
      </c>
      <c r="C11">
        <v>2</v>
      </c>
      <c r="D11" t="s">
        <v>41</v>
      </c>
      <c r="E11">
        <v>7</v>
      </c>
      <c r="F11">
        <v>50</v>
      </c>
      <c r="G11" t="s">
        <v>42</v>
      </c>
      <c r="H11">
        <v>31.046020710000001</v>
      </c>
      <c r="I11" t="str">
        <f>"-102.25802054"</f>
        <v>-102.25802054</v>
      </c>
      <c r="J11">
        <v>31.046171300000001</v>
      </c>
      <c r="K11" t="str">
        <f>"-102.25843503"</f>
        <v>-102.25843503</v>
      </c>
      <c r="L11" t="s">
        <v>43</v>
      </c>
      <c r="Q11">
        <v>5208</v>
      </c>
      <c r="R11" t="s">
        <v>44</v>
      </c>
      <c r="AA11" t="s">
        <v>45</v>
      </c>
      <c r="AB11" t="str">
        <f>"08"</f>
        <v>08</v>
      </c>
      <c r="AC11">
        <v>21741</v>
      </c>
      <c r="AD11">
        <v>774720</v>
      </c>
      <c r="AE11" t="s">
        <v>60</v>
      </c>
      <c r="AF11" t="s">
        <v>61</v>
      </c>
      <c r="AG11" t="s">
        <v>56</v>
      </c>
      <c r="AH11">
        <v>2</v>
      </c>
      <c r="AI11" s="7" t="str">
        <f t="shared" si="0"/>
        <v>10500837_08_2_2</v>
      </c>
      <c r="AJ11" t="s">
        <v>51</v>
      </c>
      <c r="AK11" t="s">
        <v>52</v>
      </c>
      <c r="AL11" s="1">
        <v>34892</v>
      </c>
      <c r="AM11">
        <v>5570</v>
      </c>
    </row>
    <row r="12" spans="1:41" x14ac:dyDescent="0.35">
      <c r="A12" s="3">
        <v>10500837</v>
      </c>
      <c r="B12" s="3" t="str">
        <f t="shared" si="1"/>
        <v>08-   2 T-2</v>
      </c>
      <c r="C12">
        <v>2</v>
      </c>
      <c r="D12" t="s">
        <v>41</v>
      </c>
      <c r="E12">
        <v>7</v>
      </c>
      <c r="F12">
        <v>50</v>
      </c>
      <c r="G12" t="s">
        <v>42</v>
      </c>
      <c r="H12">
        <v>31.046020710000001</v>
      </c>
      <c r="I12" t="str">
        <f>"-102.25802054"</f>
        <v>-102.25802054</v>
      </c>
      <c r="J12">
        <v>31.046171300000001</v>
      </c>
      <c r="K12" t="str">
        <f>"-102.25843503"</f>
        <v>-102.25843503</v>
      </c>
      <c r="L12" t="s">
        <v>43</v>
      </c>
      <c r="Q12">
        <v>5208</v>
      </c>
      <c r="R12" t="s">
        <v>44</v>
      </c>
      <c r="AA12" t="s">
        <v>45</v>
      </c>
      <c r="AB12" t="str">
        <f>"08"</f>
        <v>08</v>
      </c>
      <c r="AC12">
        <v>21749</v>
      </c>
      <c r="AD12">
        <v>521450</v>
      </c>
      <c r="AE12" t="s">
        <v>57</v>
      </c>
      <c r="AF12" t="s">
        <v>61</v>
      </c>
      <c r="AG12" t="s">
        <v>58</v>
      </c>
      <c r="AH12" t="s">
        <v>59</v>
      </c>
      <c r="AI12" s="7" t="str">
        <f t="shared" si="0"/>
        <v>10500837_08_   2 T_2</v>
      </c>
      <c r="AJ12" t="s">
        <v>51</v>
      </c>
      <c r="AK12" t="s">
        <v>52</v>
      </c>
      <c r="AL12" s="1">
        <v>34892</v>
      </c>
      <c r="AM12">
        <v>5570</v>
      </c>
    </row>
    <row r="13" spans="1:41" x14ac:dyDescent="0.35">
      <c r="A13" s="3">
        <v>10500838</v>
      </c>
      <c r="B13" s="3" t="str">
        <f t="shared" si="1"/>
        <v>7C-2-2</v>
      </c>
      <c r="C13">
        <v>2</v>
      </c>
      <c r="D13" t="s">
        <v>41</v>
      </c>
      <c r="E13">
        <v>7</v>
      </c>
      <c r="F13">
        <v>50</v>
      </c>
      <c r="G13" t="s">
        <v>42</v>
      </c>
      <c r="H13">
        <v>31.048950340000001</v>
      </c>
      <c r="I13" t="str">
        <f>"-102.25494445"</f>
        <v>-102.25494445</v>
      </c>
      <c r="J13">
        <v>31.04910083</v>
      </c>
      <c r="K13" t="str">
        <f>"-102.25535889"</f>
        <v>-102.25535889</v>
      </c>
      <c r="L13" t="s">
        <v>62</v>
      </c>
      <c r="Q13">
        <v>5232</v>
      </c>
      <c r="R13" t="s">
        <v>44</v>
      </c>
      <c r="AA13" t="s">
        <v>45</v>
      </c>
      <c r="AB13" t="s">
        <v>46</v>
      </c>
      <c r="AC13" t="str">
        <f>"03697"</f>
        <v>03697</v>
      </c>
      <c r="AD13">
        <v>246720</v>
      </c>
      <c r="AE13" t="s">
        <v>47</v>
      </c>
      <c r="AF13" t="s">
        <v>48</v>
      </c>
      <c r="AG13" t="s">
        <v>49</v>
      </c>
      <c r="AH13">
        <v>2</v>
      </c>
      <c r="AI13" s="7" t="str">
        <f t="shared" si="0"/>
        <v>10500838_7C_2_2</v>
      </c>
      <c r="AJ13" t="s">
        <v>51</v>
      </c>
      <c r="AK13" t="s">
        <v>52</v>
      </c>
    </row>
    <row r="14" spans="1:41" x14ac:dyDescent="0.35">
      <c r="A14" s="3">
        <v>10500838</v>
      </c>
      <c r="B14" s="3" t="str">
        <f t="shared" si="1"/>
        <v>08-2-2</v>
      </c>
      <c r="C14">
        <v>2</v>
      </c>
      <c r="D14" t="s">
        <v>41</v>
      </c>
      <c r="E14">
        <v>7</v>
      </c>
      <c r="F14">
        <v>50</v>
      </c>
      <c r="G14" t="s">
        <v>42</v>
      </c>
      <c r="H14">
        <v>31.048950340000001</v>
      </c>
      <c r="I14" t="str">
        <f>"-102.25494445"</f>
        <v>-102.25494445</v>
      </c>
      <c r="J14">
        <v>31.04910083</v>
      </c>
      <c r="K14" t="str">
        <f>"-102.25535889"</f>
        <v>-102.25535889</v>
      </c>
      <c r="L14" t="s">
        <v>62</v>
      </c>
      <c r="Q14">
        <v>5232</v>
      </c>
      <c r="R14" t="s">
        <v>44</v>
      </c>
      <c r="AA14" t="s">
        <v>45</v>
      </c>
      <c r="AB14" t="str">
        <f>"08"</f>
        <v>08</v>
      </c>
      <c r="AC14">
        <v>21740</v>
      </c>
      <c r="AD14">
        <v>617544</v>
      </c>
      <c r="AE14" t="s">
        <v>55</v>
      </c>
      <c r="AF14" t="s">
        <v>48</v>
      </c>
      <c r="AG14" t="s">
        <v>56</v>
      </c>
      <c r="AH14">
        <v>2</v>
      </c>
      <c r="AI14" s="7" t="str">
        <f t="shared" si="0"/>
        <v>10500838_08_2_2</v>
      </c>
      <c r="AJ14" t="s">
        <v>51</v>
      </c>
      <c r="AK14" t="s">
        <v>52</v>
      </c>
    </row>
    <row r="15" spans="1:41" x14ac:dyDescent="0.35">
      <c r="A15" s="3">
        <v>10500838</v>
      </c>
      <c r="B15" s="3" t="str">
        <f t="shared" si="1"/>
        <v>08-2-2</v>
      </c>
      <c r="C15">
        <v>2</v>
      </c>
      <c r="D15" t="s">
        <v>41</v>
      </c>
      <c r="E15">
        <v>7</v>
      </c>
      <c r="F15">
        <v>50</v>
      </c>
      <c r="G15" t="s">
        <v>42</v>
      </c>
      <c r="H15">
        <v>31.048950340000001</v>
      </c>
      <c r="I15" t="str">
        <f>"-102.25494445"</f>
        <v>-102.25494445</v>
      </c>
      <c r="J15">
        <v>31.04910083</v>
      </c>
      <c r="K15" t="str">
        <f>"-102.25535889"</f>
        <v>-102.25535889</v>
      </c>
      <c r="L15" t="s">
        <v>62</v>
      </c>
      <c r="Q15">
        <v>5232</v>
      </c>
      <c r="R15" t="s">
        <v>44</v>
      </c>
      <c r="AA15" t="s">
        <v>45</v>
      </c>
      <c r="AB15" t="str">
        <f>"08"</f>
        <v>08</v>
      </c>
      <c r="AC15">
        <v>21750</v>
      </c>
      <c r="AD15">
        <v>521450</v>
      </c>
      <c r="AE15" t="s">
        <v>57</v>
      </c>
      <c r="AF15" t="s">
        <v>48</v>
      </c>
      <c r="AG15" t="s">
        <v>58</v>
      </c>
      <c r="AH15">
        <v>2</v>
      </c>
      <c r="AI15" s="7" t="str">
        <f t="shared" si="0"/>
        <v>10500838_08_2_2</v>
      </c>
      <c r="AJ15" t="s">
        <v>51</v>
      </c>
      <c r="AK15" t="s">
        <v>52</v>
      </c>
    </row>
    <row r="16" spans="1:41" x14ac:dyDescent="0.35">
      <c r="A16" s="3">
        <v>10500839</v>
      </c>
      <c r="B16" s="3" t="str">
        <f t="shared" si="1"/>
        <v>7C-   3 T-228</v>
      </c>
      <c r="C16">
        <v>228</v>
      </c>
      <c r="D16" t="s">
        <v>63</v>
      </c>
      <c r="E16">
        <v>4</v>
      </c>
      <c r="F16">
        <v>55</v>
      </c>
      <c r="G16" t="s">
        <v>64</v>
      </c>
      <c r="H16">
        <v>2965424.5154199498</v>
      </c>
      <c r="I16" t="str">
        <f t="shared" ref="I16:I22" si="2">"2294177.85104987"</f>
        <v>2294177.85104987</v>
      </c>
      <c r="J16">
        <v>31.05172924</v>
      </c>
      <c r="K16" t="str">
        <f t="shared" ref="K16:K22" si="3">"-102.25918281"</f>
        <v>-102.25918281</v>
      </c>
      <c r="L16" t="s">
        <v>65</v>
      </c>
      <c r="M16">
        <v>854632</v>
      </c>
      <c r="N16">
        <v>617544</v>
      </c>
      <c r="O16" t="s">
        <v>55</v>
      </c>
      <c r="P16" t="s">
        <v>66</v>
      </c>
      <c r="Q16">
        <v>5390</v>
      </c>
      <c r="R16" t="s">
        <v>44</v>
      </c>
      <c r="S16">
        <v>4940</v>
      </c>
      <c r="T16" t="s">
        <v>67</v>
      </c>
      <c r="U16">
        <v>31</v>
      </c>
      <c r="V16">
        <v>24</v>
      </c>
      <c r="W16">
        <v>622</v>
      </c>
      <c r="X16" t="s">
        <v>68</v>
      </c>
      <c r="Y16">
        <v>3227</v>
      </c>
      <c r="Z16" t="s">
        <v>69</v>
      </c>
      <c r="AA16" t="s">
        <v>45</v>
      </c>
      <c r="AB16" t="s">
        <v>46</v>
      </c>
      <c r="AC16" t="str">
        <f>"03697"</f>
        <v>03697</v>
      </c>
      <c r="AD16">
        <v>246720</v>
      </c>
      <c r="AE16" t="s">
        <v>47</v>
      </c>
      <c r="AF16" t="s">
        <v>48</v>
      </c>
      <c r="AG16" t="s">
        <v>49</v>
      </c>
      <c r="AH16" t="s">
        <v>70</v>
      </c>
      <c r="AI16" s="7" t="str">
        <f t="shared" si="0"/>
        <v>10500839_7C_   3 T_228</v>
      </c>
      <c r="AJ16" t="s">
        <v>51</v>
      </c>
      <c r="AK16" t="s">
        <v>52</v>
      </c>
    </row>
    <row r="17" spans="1:39" x14ac:dyDescent="0.35">
      <c r="A17" s="3">
        <v>10500839</v>
      </c>
      <c r="B17" s="3" t="str">
        <f t="shared" si="1"/>
        <v>7C-   3 C-228</v>
      </c>
      <c r="C17">
        <v>228</v>
      </c>
      <c r="D17" t="s">
        <v>63</v>
      </c>
      <c r="E17">
        <v>4</v>
      </c>
      <c r="F17">
        <v>55</v>
      </c>
      <c r="G17" t="s">
        <v>64</v>
      </c>
      <c r="H17">
        <v>2965424.5154199498</v>
      </c>
      <c r="I17" t="str">
        <f t="shared" si="2"/>
        <v>2294177.85104987</v>
      </c>
      <c r="J17">
        <v>31.05172924</v>
      </c>
      <c r="K17" t="str">
        <f t="shared" si="3"/>
        <v>-102.25918281</v>
      </c>
      <c r="L17" t="s">
        <v>65</v>
      </c>
      <c r="M17">
        <v>854632</v>
      </c>
      <c r="N17">
        <v>617544</v>
      </c>
      <c r="O17" t="s">
        <v>55</v>
      </c>
      <c r="P17" t="s">
        <v>66</v>
      </c>
      <c r="Q17">
        <v>5390</v>
      </c>
      <c r="R17" t="s">
        <v>44</v>
      </c>
      <c r="S17">
        <v>4940</v>
      </c>
      <c r="T17" t="s">
        <v>67</v>
      </c>
      <c r="U17">
        <v>31</v>
      </c>
      <c r="V17">
        <v>24</v>
      </c>
      <c r="W17">
        <v>622</v>
      </c>
      <c r="X17" t="s">
        <v>68</v>
      </c>
      <c r="Y17">
        <v>3227</v>
      </c>
      <c r="Z17" t="s">
        <v>69</v>
      </c>
      <c r="AA17" t="s">
        <v>45</v>
      </c>
      <c r="AB17" t="s">
        <v>46</v>
      </c>
      <c r="AC17" t="str">
        <f>"03793"</f>
        <v>03793</v>
      </c>
      <c r="AD17">
        <v>246720</v>
      </c>
      <c r="AE17" t="s">
        <v>47</v>
      </c>
      <c r="AG17" t="s">
        <v>53</v>
      </c>
      <c r="AH17" t="s">
        <v>71</v>
      </c>
      <c r="AI17" s="7" t="str">
        <f t="shared" si="0"/>
        <v>10500839_7C_   3 C_228</v>
      </c>
      <c r="AJ17" t="s">
        <v>51</v>
      </c>
      <c r="AK17" t="s">
        <v>52</v>
      </c>
    </row>
    <row r="18" spans="1:39" x14ac:dyDescent="0.35">
      <c r="A18" s="3">
        <v>10500839</v>
      </c>
      <c r="B18" s="3" t="str">
        <f t="shared" si="1"/>
        <v>08-3-228</v>
      </c>
      <c r="C18">
        <v>228</v>
      </c>
      <c r="D18" t="s">
        <v>63</v>
      </c>
      <c r="E18">
        <v>4</v>
      </c>
      <c r="F18">
        <v>55</v>
      </c>
      <c r="G18" t="s">
        <v>64</v>
      </c>
      <c r="H18">
        <v>2965424.5154199498</v>
      </c>
      <c r="I18" t="str">
        <f t="shared" si="2"/>
        <v>2294177.85104987</v>
      </c>
      <c r="J18">
        <v>31.05172924</v>
      </c>
      <c r="K18" t="str">
        <f t="shared" si="3"/>
        <v>-102.25918281</v>
      </c>
      <c r="L18" t="s">
        <v>65</v>
      </c>
      <c r="M18">
        <v>854632</v>
      </c>
      <c r="N18">
        <v>617544</v>
      </c>
      <c r="O18" t="s">
        <v>55</v>
      </c>
      <c r="P18" t="s">
        <v>66</v>
      </c>
      <c r="Q18">
        <v>5390</v>
      </c>
      <c r="R18" t="s">
        <v>44</v>
      </c>
      <c r="S18">
        <v>4940</v>
      </c>
      <c r="T18" t="s">
        <v>67</v>
      </c>
      <c r="U18">
        <v>31</v>
      </c>
      <c r="V18">
        <v>24</v>
      </c>
      <c r="W18">
        <v>622</v>
      </c>
      <c r="X18" t="s">
        <v>68</v>
      </c>
      <c r="Y18">
        <v>3227</v>
      </c>
      <c r="Z18" t="s">
        <v>69</v>
      </c>
      <c r="AA18" t="s">
        <v>45</v>
      </c>
      <c r="AB18" t="str">
        <f t="shared" ref="AB18:AB30" si="4">"08"</f>
        <v>08</v>
      </c>
      <c r="AC18">
        <v>21736</v>
      </c>
      <c r="AD18">
        <v>617544</v>
      </c>
      <c r="AE18" t="s">
        <v>55</v>
      </c>
      <c r="AF18" t="s">
        <v>66</v>
      </c>
      <c r="AG18" t="s">
        <v>56</v>
      </c>
      <c r="AH18">
        <v>3</v>
      </c>
      <c r="AI18" s="7" t="str">
        <f t="shared" si="0"/>
        <v>10500839_08_3_228</v>
      </c>
      <c r="AJ18" t="s">
        <v>51</v>
      </c>
      <c r="AK18" t="s">
        <v>52</v>
      </c>
    </row>
    <row r="19" spans="1:39" x14ac:dyDescent="0.35">
      <c r="A19" s="3">
        <v>10500839</v>
      </c>
      <c r="B19" s="3" t="str">
        <f t="shared" si="1"/>
        <v>08-228-228</v>
      </c>
      <c r="C19">
        <v>228</v>
      </c>
      <c r="D19" t="s">
        <v>63</v>
      </c>
      <c r="E19">
        <v>4</v>
      </c>
      <c r="F19">
        <v>55</v>
      </c>
      <c r="G19" t="s">
        <v>64</v>
      </c>
      <c r="H19">
        <v>2965424.5154199498</v>
      </c>
      <c r="I19" t="str">
        <f t="shared" si="2"/>
        <v>2294177.85104987</v>
      </c>
      <c r="J19">
        <v>31.05172924</v>
      </c>
      <c r="K19" t="str">
        <f t="shared" si="3"/>
        <v>-102.25918281</v>
      </c>
      <c r="L19" t="s">
        <v>65</v>
      </c>
      <c r="M19">
        <v>854632</v>
      </c>
      <c r="N19">
        <v>617544</v>
      </c>
      <c r="O19" t="s">
        <v>55</v>
      </c>
      <c r="P19" t="s">
        <v>66</v>
      </c>
      <c r="Q19">
        <v>5390</v>
      </c>
      <c r="R19" t="s">
        <v>44</v>
      </c>
      <c r="S19">
        <v>4940</v>
      </c>
      <c r="T19" t="s">
        <v>67</v>
      </c>
      <c r="U19">
        <v>31</v>
      </c>
      <c r="V19">
        <v>24</v>
      </c>
      <c r="W19">
        <v>622</v>
      </c>
      <c r="X19" t="s">
        <v>68</v>
      </c>
      <c r="Y19">
        <v>3227</v>
      </c>
      <c r="Z19" t="s">
        <v>69</v>
      </c>
      <c r="AA19" t="s">
        <v>45</v>
      </c>
      <c r="AB19" t="str">
        <f t="shared" si="4"/>
        <v>08</v>
      </c>
      <c r="AC19">
        <v>21736</v>
      </c>
      <c r="AD19">
        <v>617544</v>
      </c>
      <c r="AE19" t="s">
        <v>55</v>
      </c>
      <c r="AF19" t="s">
        <v>66</v>
      </c>
      <c r="AG19" t="s">
        <v>56</v>
      </c>
      <c r="AH19">
        <v>228</v>
      </c>
      <c r="AI19" s="7" t="str">
        <f t="shared" si="0"/>
        <v>10500839_08_228_228</v>
      </c>
      <c r="AJ19" t="s">
        <v>72</v>
      </c>
      <c r="AK19" t="s">
        <v>73</v>
      </c>
    </row>
    <row r="20" spans="1:39" x14ac:dyDescent="0.35">
      <c r="A20" s="3">
        <v>10500839</v>
      </c>
      <c r="B20" s="3" t="str">
        <f t="shared" si="1"/>
        <v>08-3-228</v>
      </c>
      <c r="C20">
        <v>228</v>
      </c>
      <c r="D20" t="s">
        <v>63</v>
      </c>
      <c r="E20">
        <v>4</v>
      </c>
      <c r="F20">
        <v>55</v>
      </c>
      <c r="G20" t="s">
        <v>64</v>
      </c>
      <c r="H20">
        <v>2965424.5154199498</v>
      </c>
      <c r="I20" t="str">
        <f t="shared" si="2"/>
        <v>2294177.85104987</v>
      </c>
      <c r="J20">
        <v>31.05172924</v>
      </c>
      <c r="K20" t="str">
        <f t="shared" si="3"/>
        <v>-102.25918281</v>
      </c>
      <c r="L20" t="s">
        <v>65</v>
      </c>
      <c r="M20">
        <v>854632</v>
      </c>
      <c r="N20">
        <v>617544</v>
      </c>
      <c r="O20" t="s">
        <v>55</v>
      </c>
      <c r="P20" t="s">
        <v>66</v>
      </c>
      <c r="Q20">
        <v>5390</v>
      </c>
      <c r="R20" t="s">
        <v>44</v>
      </c>
      <c r="S20">
        <v>4940</v>
      </c>
      <c r="T20" t="s">
        <v>67</v>
      </c>
      <c r="U20">
        <v>31</v>
      </c>
      <c r="V20">
        <v>24</v>
      </c>
      <c r="W20">
        <v>622</v>
      </c>
      <c r="X20" t="s">
        <v>68</v>
      </c>
      <c r="Y20">
        <v>3227</v>
      </c>
      <c r="Z20" t="s">
        <v>69</v>
      </c>
      <c r="AA20" t="s">
        <v>45</v>
      </c>
      <c r="AB20" t="str">
        <f t="shared" si="4"/>
        <v>08</v>
      </c>
      <c r="AC20">
        <v>21740</v>
      </c>
      <c r="AD20">
        <v>617544</v>
      </c>
      <c r="AE20" t="s">
        <v>55</v>
      </c>
      <c r="AF20" t="s">
        <v>48</v>
      </c>
      <c r="AG20" t="s">
        <v>56</v>
      </c>
      <c r="AH20">
        <v>3</v>
      </c>
      <c r="AI20" s="7" t="str">
        <f t="shared" si="0"/>
        <v>10500839_08_3_228</v>
      </c>
      <c r="AJ20" t="s">
        <v>51</v>
      </c>
      <c r="AK20" t="s">
        <v>52</v>
      </c>
    </row>
    <row r="21" spans="1:39" x14ac:dyDescent="0.35">
      <c r="A21" s="3">
        <v>10500839</v>
      </c>
      <c r="B21" s="3" t="str">
        <f t="shared" si="1"/>
        <v>08-   3 C-228</v>
      </c>
      <c r="C21">
        <v>228</v>
      </c>
      <c r="D21" t="s">
        <v>63</v>
      </c>
      <c r="E21">
        <v>4</v>
      </c>
      <c r="F21">
        <v>55</v>
      </c>
      <c r="G21" t="s">
        <v>64</v>
      </c>
      <c r="H21">
        <v>2965424.5154199498</v>
      </c>
      <c r="I21" t="str">
        <f t="shared" si="2"/>
        <v>2294177.85104987</v>
      </c>
      <c r="J21">
        <v>31.05172924</v>
      </c>
      <c r="K21" t="str">
        <f t="shared" si="3"/>
        <v>-102.25918281</v>
      </c>
      <c r="L21" t="s">
        <v>65</v>
      </c>
      <c r="M21">
        <v>854632</v>
      </c>
      <c r="N21">
        <v>617544</v>
      </c>
      <c r="O21" t="s">
        <v>55</v>
      </c>
      <c r="P21" t="s">
        <v>66</v>
      </c>
      <c r="Q21">
        <v>5390</v>
      </c>
      <c r="R21" t="s">
        <v>44</v>
      </c>
      <c r="S21">
        <v>4940</v>
      </c>
      <c r="T21" t="s">
        <v>67</v>
      </c>
      <c r="U21">
        <v>31</v>
      </c>
      <c r="V21">
        <v>24</v>
      </c>
      <c r="W21">
        <v>622</v>
      </c>
      <c r="X21" t="s">
        <v>68</v>
      </c>
      <c r="Y21">
        <v>3227</v>
      </c>
      <c r="Z21" t="s">
        <v>69</v>
      </c>
      <c r="AA21" t="s">
        <v>45</v>
      </c>
      <c r="AB21" t="str">
        <f t="shared" si="4"/>
        <v>08</v>
      </c>
      <c r="AC21">
        <v>21740</v>
      </c>
      <c r="AD21">
        <v>617544</v>
      </c>
      <c r="AE21" t="s">
        <v>55</v>
      </c>
      <c r="AF21" t="s">
        <v>48</v>
      </c>
      <c r="AG21" t="s">
        <v>56</v>
      </c>
      <c r="AH21" t="s">
        <v>71</v>
      </c>
      <c r="AI21" s="7" t="str">
        <f t="shared" si="0"/>
        <v>10500839_08_   3 C_228</v>
      </c>
      <c r="AJ21" t="s">
        <v>51</v>
      </c>
      <c r="AK21" t="s">
        <v>52</v>
      </c>
    </row>
    <row r="22" spans="1:39" x14ac:dyDescent="0.35">
      <c r="A22" s="3">
        <v>10500839</v>
      </c>
      <c r="B22" s="3" t="str">
        <f t="shared" si="1"/>
        <v>08-   3 T-228</v>
      </c>
      <c r="C22">
        <v>228</v>
      </c>
      <c r="D22" t="s">
        <v>63</v>
      </c>
      <c r="E22">
        <v>4</v>
      </c>
      <c r="F22">
        <v>55</v>
      </c>
      <c r="G22" t="s">
        <v>64</v>
      </c>
      <c r="H22">
        <v>2965424.5154199498</v>
      </c>
      <c r="I22" t="str">
        <f t="shared" si="2"/>
        <v>2294177.85104987</v>
      </c>
      <c r="J22">
        <v>31.05172924</v>
      </c>
      <c r="K22" t="str">
        <f t="shared" si="3"/>
        <v>-102.25918281</v>
      </c>
      <c r="L22" t="s">
        <v>65</v>
      </c>
      <c r="M22">
        <v>854632</v>
      </c>
      <c r="N22">
        <v>617544</v>
      </c>
      <c r="O22" t="s">
        <v>55</v>
      </c>
      <c r="P22" t="s">
        <v>66</v>
      </c>
      <c r="Q22">
        <v>5390</v>
      </c>
      <c r="R22" t="s">
        <v>44</v>
      </c>
      <c r="S22">
        <v>4940</v>
      </c>
      <c r="T22" t="s">
        <v>67</v>
      </c>
      <c r="U22">
        <v>31</v>
      </c>
      <c r="V22">
        <v>24</v>
      </c>
      <c r="W22">
        <v>622</v>
      </c>
      <c r="X22" t="s">
        <v>68</v>
      </c>
      <c r="Y22">
        <v>3227</v>
      </c>
      <c r="Z22" t="s">
        <v>69</v>
      </c>
      <c r="AA22" t="s">
        <v>45</v>
      </c>
      <c r="AB22" t="str">
        <f t="shared" si="4"/>
        <v>08</v>
      </c>
      <c r="AC22">
        <v>21750</v>
      </c>
      <c r="AD22">
        <v>521450</v>
      </c>
      <c r="AE22" t="s">
        <v>57</v>
      </c>
      <c r="AF22" t="s">
        <v>48</v>
      </c>
      <c r="AG22" t="s">
        <v>58</v>
      </c>
      <c r="AH22" t="s">
        <v>70</v>
      </c>
      <c r="AI22" s="7" t="str">
        <f t="shared" si="0"/>
        <v>10500839_08_   3 T_228</v>
      </c>
      <c r="AJ22" t="s">
        <v>51</v>
      </c>
      <c r="AK22" t="s">
        <v>52</v>
      </c>
    </row>
    <row r="23" spans="1:39" x14ac:dyDescent="0.35">
      <c r="A23" s="3">
        <v>10501196</v>
      </c>
      <c r="B23" s="3" t="str">
        <f t="shared" si="1"/>
        <v>08-5-155</v>
      </c>
      <c r="C23">
        <v>155</v>
      </c>
      <c r="D23" t="s">
        <v>41</v>
      </c>
      <c r="E23">
        <v>7</v>
      </c>
      <c r="F23">
        <v>50</v>
      </c>
      <c r="G23" t="s">
        <v>42</v>
      </c>
      <c r="H23">
        <v>31.059219070000001</v>
      </c>
      <c r="I23" t="str">
        <f>"-102.27748524"</f>
        <v>-102.27748524</v>
      </c>
      <c r="J23">
        <v>31.05936917</v>
      </c>
      <c r="K23" t="str">
        <f>"-102.27790049"</f>
        <v>-102.27790049</v>
      </c>
      <c r="L23" t="s">
        <v>43</v>
      </c>
      <c r="Q23">
        <v>5600</v>
      </c>
      <c r="R23" t="s">
        <v>44</v>
      </c>
      <c r="AA23" t="s">
        <v>45</v>
      </c>
      <c r="AB23" t="str">
        <f t="shared" si="4"/>
        <v>08</v>
      </c>
      <c r="AC23">
        <v>16645</v>
      </c>
      <c r="AD23">
        <v>338130</v>
      </c>
      <c r="AE23" t="s">
        <v>74</v>
      </c>
      <c r="AF23" t="s">
        <v>66</v>
      </c>
      <c r="AG23" t="s">
        <v>58</v>
      </c>
      <c r="AH23">
        <v>5</v>
      </c>
      <c r="AI23" s="7" t="str">
        <f t="shared" si="0"/>
        <v>10501196_08_5_155</v>
      </c>
      <c r="AJ23" t="s">
        <v>51</v>
      </c>
      <c r="AK23" t="s">
        <v>52</v>
      </c>
      <c r="AL23" s="1">
        <v>35025</v>
      </c>
      <c r="AM23">
        <v>5600</v>
      </c>
    </row>
    <row r="24" spans="1:39" x14ac:dyDescent="0.35">
      <c r="A24" s="3">
        <v>10501196</v>
      </c>
      <c r="B24" s="3" t="str">
        <f t="shared" si="1"/>
        <v>08-155-155</v>
      </c>
      <c r="C24">
        <v>155</v>
      </c>
      <c r="D24" t="s">
        <v>41</v>
      </c>
      <c r="E24">
        <v>7</v>
      </c>
      <c r="F24">
        <v>50</v>
      </c>
      <c r="G24" t="s">
        <v>42</v>
      </c>
      <c r="H24">
        <v>31.059219070000001</v>
      </c>
      <c r="I24" t="str">
        <f>"-102.27748524"</f>
        <v>-102.27748524</v>
      </c>
      <c r="J24">
        <v>31.05936917</v>
      </c>
      <c r="K24" t="str">
        <f>"-102.27790049"</f>
        <v>-102.27790049</v>
      </c>
      <c r="L24" t="s">
        <v>43</v>
      </c>
      <c r="Q24">
        <v>5600</v>
      </c>
      <c r="R24" t="s">
        <v>44</v>
      </c>
      <c r="AA24" t="s">
        <v>45</v>
      </c>
      <c r="AB24" t="str">
        <f t="shared" si="4"/>
        <v>08</v>
      </c>
      <c r="AC24">
        <v>21736</v>
      </c>
      <c r="AD24">
        <v>617544</v>
      </c>
      <c r="AE24" t="s">
        <v>55</v>
      </c>
      <c r="AF24" t="s">
        <v>66</v>
      </c>
      <c r="AG24" t="s">
        <v>56</v>
      </c>
      <c r="AH24">
        <v>155</v>
      </c>
      <c r="AI24" s="7" t="str">
        <f t="shared" si="0"/>
        <v>10501196_08_155_155</v>
      </c>
      <c r="AJ24" t="s">
        <v>51</v>
      </c>
      <c r="AK24" t="s">
        <v>52</v>
      </c>
      <c r="AL24" s="1">
        <v>35025</v>
      </c>
      <c r="AM24">
        <v>5600</v>
      </c>
    </row>
    <row r="25" spans="1:39" x14ac:dyDescent="0.35">
      <c r="A25" s="3">
        <v>10501197</v>
      </c>
      <c r="B25" s="3" t="str">
        <f t="shared" si="1"/>
        <v>08-   6 T-154</v>
      </c>
      <c r="C25">
        <v>154</v>
      </c>
      <c r="D25" t="s">
        <v>41</v>
      </c>
      <c r="E25">
        <v>7</v>
      </c>
      <c r="F25">
        <v>50</v>
      </c>
      <c r="G25" t="s">
        <v>42</v>
      </c>
      <c r="H25">
        <v>31.056444920000001</v>
      </c>
      <c r="I25" t="str">
        <f>"-102.28010561"</f>
        <v>-102.28010561</v>
      </c>
      <c r="J25">
        <v>31.056595040000001</v>
      </c>
      <c r="K25" t="str">
        <f>"-102.28052092"</f>
        <v>-102.28052092</v>
      </c>
      <c r="L25" t="s">
        <v>43</v>
      </c>
      <c r="Q25">
        <v>5320</v>
      </c>
      <c r="R25" t="s">
        <v>44</v>
      </c>
      <c r="AA25" t="s">
        <v>45</v>
      </c>
      <c r="AB25" t="str">
        <f t="shared" si="4"/>
        <v>08</v>
      </c>
      <c r="AC25">
        <v>16645</v>
      </c>
      <c r="AD25">
        <v>338130</v>
      </c>
      <c r="AE25" t="s">
        <v>74</v>
      </c>
      <c r="AF25" t="s">
        <v>66</v>
      </c>
      <c r="AG25" t="s">
        <v>58</v>
      </c>
      <c r="AH25" t="s">
        <v>75</v>
      </c>
      <c r="AI25" s="7" t="str">
        <f t="shared" si="0"/>
        <v>10501197_08_   6 T_154</v>
      </c>
      <c r="AJ25" t="s">
        <v>51</v>
      </c>
      <c r="AK25" t="s">
        <v>52</v>
      </c>
      <c r="AL25" s="1">
        <v>35024</v>
      </c>
      <c r="AM25">
        <v>5230</v>
      </c>
    </row>
    <row r="26" spans="1:39" x14ac:dyDescent="0.35">
      <c r="A26" s="3">
        <v>10501197</v>
      </c>
      <c r="B26" s="3" t="str">
        <f t="shared" si="1"/>
        <v>08-154-154</v>
      </c>
      <c r="C26">
        <v>154</v>
      </c>
      <c r="D26" t="s">
        <v>41</v>
      </c>
      <c r="E26">
        <v>7</v>
      </c>
      <c r="F26">
        <v>50</v>
      </c>
      <c r="G26" t="s">
        <v>42</v>
      </c>
      <c r="H26">
        <v>31.056444920000001</v>
      </c>
      <c r="I26" t="str">
        <f>"-102.28010561"</f>
        <v>-102.28010561</v>
      </c>
      <c r="J26">
        <v>31.056595040000001</v>
      </c>
      <c r="K26" t="str">
        <f>"-102.28052092"</f>
        <v>-102.28052092</v>
      </c>
      <c r="L26" t="s">
        <v>43</v>
      </c>
      <c r="Q26">
        <v>5320</v>
      </c>
      <c r="R26" t="s">
        <v>44</v>
      </c>
      <c r="AA26" t="s">
        <v>45</v>
      </c>
      <c r="AB26" t="str">
        <f t="shared" si="4"/>
        <v>08</v>
      </c>
      <c r="AC26">
        <v>21736</v>
      </c>
      <c r="AD26">
        <v>617544</v>
      </c>
      <c r="AE26" t="s">
        <v>55</v>
      </c>
      <c r="AF26" t="s">
        <v>66</v>
      </c>
      <c r="AG26" t="s">
        <v>56</v>
      </c>
      <c r="AH26">
        <v>154</v>
      </c>
      <c r="AI26" s="7" t="str">
        <f t="shared" si="0"/>
        <v>10501197_08_154_154</v>
      </c>
      <c r="AJ26" t="s">
        <v>51</v>
      </c>
      <c r="AK26" t="s">
        <v>52</v>
      </c>
      <c r="AL26" s="1">
        <v>35024</v>
      </c>
      <c r="AM26">
        <v>5230</v>
      </c>
    </row>
    <row r="27" spans="1:39" x14ac:dyDescent="0.35">
      <c r="A27" s="3">
        <v>10501198</v>
      </c>
      <c r="B27" s="3" t="str">
        <f t="shared" si="1"/>
        <v>08-7-152</v>
      </c>
      <c r="C27">
        <v>152</v>
      </c>
      <c r="D27" t="s">
        <v>76</v>
      </c>
      <c r="E27">
        <v>21</v>
      </c>
      <c r="F27">
        <v>50</v>
      </c>
      <c r="G27" t="s">
        <v>42</v>
      </c>
      <c r="H27">
        <v>2965436.0626640501</v>
      </c>
      <c r="I27" t="str">
        <f>"2285894.27919948"</f>
        <v>2285894.27919948</v>
      </c>
      <c r="J27">
        <v>31.051274159999998</v>
      </c>
      <c r="K27" t="str">
        <f>"-102.28567344"</f>
        <v>-102.28567344</v>
      </c>
      <c r="L27" t="s">
        <v>65</v>
      </c>
      <c r="Q27">
        <v>5325</v>
      </c>
      <c r="R27" t="s">
        <v>44</v>
      </c>
      <c r="AA27" t="s">
        <v>45</v>
      </c>
      <c r="AB27" t="str">
        <f t="shared" si="4"/>
        <v>08</v>
      </c>
      <c r="AC27">
        <v>16645</v>
      </c>
      <c r="AD27">
        <v>338130</v>
      </c>
      <c r="AE27" t="s">
        <v>74</v>
      </c>
      <c r="AF27" t="s">
        <v>66</v>
      </c>
      <c r="AG27" t="s">
        <v>58</v>
      </c>
      <c r="AH27">
        <v>7</v>
      </c>
      <c r="AI27" s="7" t="str">
        <f t="shared" si="0"/>
        <v>10501198_08_7_152</v>
      </c>
      <c r="AJ27" t="s">
        <v>51</v>
      </c>
      <c r="AK27" t="s">
        <v>52</v>
      </c>
    </row>
    <row r="28" spans="1:39" x14ac:dyDescent="0.35">
      <c r="A28" s="3">
        <v>10501198</v>
      </c>
      <c r="B28" s="3" t="str">
        <f t="shared" si="1"/>
        <v>08-152-152</v>
      </c>
      <c r="C28">
        <v>152</v>
      </c>
      <c r="D28" t="s">
        <v>76</v>
      </c>
      <c r="E28">
        <v>21</v>
      </c>
      <c r="F28">
        <v>50</v>
      </c>
      <c r="G28" t="s">
        <v>42</v>
      </c>
      <c r="H28">
        <v>2965436.0626640501</v>
      </c>
      <c r="I28" t="str">
        <f>"2285894.27919948"</f>
        <v>2285894.27919948</v>
      </c>
      <c r="J28">
        <v>31.051274159999998</v>
      </c>
      <c r="K28" t="str">
        <f>"-102.28567344"</f>
        <v>-102.28567344</v>
      </c>
      <c r="L28" t="s">
        <v>65</v>
      </c>
      <c r="Q28">
        <v>5325</v>
      </c>
      <c r="R28" t="s">
        <v>44</v>
      </c>
      <c r="AA28" t="s">
        <v>45</v>
      </c>
      <c r="AB28" t="str">
        <f t="shared" si="4"/>
        <v>08</v>
      </c>
      <c r="AC28">
        <v>21736</v>
      </c>
      <c r="AD28">
        <v>617544</v>
      </c>
      <c r="AE28" t="s">
        <v>55</v>
      </c>
      <c r="AF28" t="s">
        <v>66</v>
      </c>
      <c r="AG28" t="s">
        <v>56</v>
      </c>
      <c r="AH28">
        <v>152</v>
      </c>
      <c r="AI28" s="7" t="str">
        <f t="shared" si="0"/>
        <v>10501198_08_152_152</v>
      </c>
      <c r="AJ28" t="s">
        <v>77</v>
      </c>
      <c r="AK28" t="s">
        <v>73</v>
      </c>
    </row>
    <row r="29" spans="1:39" x14ac:dyDescent="0.35">
      <c r="A29" s="3">
        <v>10501199</v>
      </c>
      <c r="B29" s="3" t="str">
        <f t="shared" si="1"/>
        <v>08-8-153</v>
      </c>
      <c r="C29">
        <v>153</v>
      </c>
      <c r="D29" t="s">
        <v>41</v>
      </c>
      <c r="E29">
        <v>7</v>
      </c>
      <c r="F29">
        <v>50</v>
      </c>
      <c r="G29" t="s">
        <v>42</v>
      </c>
      <c r="H29">
        <v>31.053632669999999</v>
      </c>
      <c r="I29" t="str">
        <f>"-102.28284658"</f>
        <v>-102.28284658</v>
      </c>
      <c r="J29">
        <v>31.053782909999999</v>
      </c>
      <c r="K29" t="str">
        <f>"-102.28326196"</f>
        <v>-102.28326196</v>
      </c>
      <c r="L29" t="s">
        <v>43</v>
      </c>
      <c r="Q29">
        <v>5259</v>
      </c>
      <c r="R29" t="s">
        <v>44</v>
      </c>
      <c r="AA29" t="s">
        <v>45</v>
      </c>
      <c r="AB29" t="str">
        <f t="shared" si="4"/>
        <v>08</v>
      </c>
      <c r="AC29">
        <v>16645</v>
      </c>
      <c r="AD29">
        <v>338130</v>
      </c>
      <c r="AE29" t="s">
        <v>74</v>
      </c>
      <c r="AF29" t="s">
        <v>66</v>
      </c>
      <c r="AG29" t="s">
        <v>58</v>
      </c>
      <c r="AH29">
        <v>8</v>
      </c>
      <c r="AI29" s="7" t="str">
        <f t="shared" si="0"/>
        <v>10501199_08_8_153</v>
      </c>
      <c r="AJ29" t="s">
        <v>51</v>
      </c>
      <c r="AK29" t="s">
        <v>52</v>
      </c>
      <c r="AL29" s="1">
        <v>33703</v>
      </c>
      <c r="AM29">
        <v>5260</v>
      </c>
    </row>
    <row r="30" spans="1:39" x14ac:dyDescent="0.35">
      <c r="A30" s="3">
        <v>10501199</v>
      </c>
      <c r="B30" s="3" t="str">
        <f t="shared" si="1"/>
        <v>08-153-153</v>
      </c>
      <c r="C30">
        <v>153</v>
      </c>
      <c r="D30" t="s">
        <v>41</v>
      </c>
      <c r="E30">
        <v>7</v>
      </c>
      <c r="F30">
        <v>50</v>
      </c>
      <c r="G30" t="s">
        <v>42</v>
      </c>
      <c r="H30">
        <v>31.053632669999999</v>
      </c>
      <c r="I30" t="str">
        <f>"-102.28284658"</f>
        <v>-102.28284658</v>
      </c>
      <c r="J30">
        <v>31.053782909999999</v>
      </c>
      <c r="K30" t="str">
        <f>"-102.28326196"</f>
        <v>-102.28326196</v>
      </c>
      <c r="L30" t="s">
        <v>43</v>
      </c>
      <c r="Q30">
        <v>5259</v>
      </c>
      <c r="R30" t="s">
        <v>44</v>
      </c>
      <c r="AA30" t="s">
        <v>45</v>
      </c>
      <c r="AB30" t="str">
        <f t="shared" si="4"/>
        <v>08</v>
      </c>
      <c r="AC30">
        <v>21736</v>
      </c>
      <c r="AD30">
        <v>617544</v>
      </c>
      <c r="AE30" t="s">
        <v>55</v>
      </c>
      <c r="AF30" t="s">
        <v>66</v>
      </c>
      <c r="AG30" t="s">
        <v>56</v>
      </c>
      <c r="AH30">
        <v>153</v>
      </c>
      <c r="AI30" s="7" t="str">
        <f t="shared" si="0"/>
        <v>10501199_08_153_153</v>
      </c>
      <c r="AJ30" t="s">
        <v>51</v>
      </c>
      <c r="AK30" t="s">
        <v>52</v>
      </c>
      <c r="AL30" s="1">
        <v>33703</v>
      </c>
      <c r="AM30">
        <v>5260</v>
      </c>
    </row>
    <row r="31" spans="1:39" x14ac:dyDescent="0.35">
      <c r="A31" s="3">
        <v>10501938</v>
      </c>
      <c r="B31" s="3" t="str">
        <f t="shared" si="1"/>
        <v>7C-   1 T-188G</v>
      </c>
      <c r="C31" t="s">
        <v>78</v>
      </c>
      <c r="D31" t="s">
        <v>41</v>
      </c>
      <c r="E31">
        <v>7</v>
      </c>
      <c r="F31">
        <v>50</v>
      </c>
      <c r="G31" t="s">
        <v>42</v>
      </c>
      <c r="H31">
        <v>31.046798079999999</v>
      </c>
      <c r="I31" t="str">
        <f>"-102.26904966"</f>
        <v>-102.26904966</v>
      </c>
      <c r="J31">
        <v>31.046948610000001</v>
      </c>
      <c r="K31" t="str">
        <f>"-102.26946456"</f>
        <v>-102.26946456</v>
      </c>
      <c r="L31" t="s">
        <v>43</v>
      </c>
      <c r="Q31">
        <v>0</v>
      </c>
      <c r="R31" t="s">
        <v>44</v>
      </c>
      <c r="AA31" t="s">
        <v>45</v>
      </c>
      <c r="AB31" t="s">
        <v>46</v>
      </c>
      <c r="AC31" t="str">
        <f>"03787"</f>
        <v>03787</v>
      </c>
      <c r="AD31">
        <v>773840</v>
      </c>
      <c r="AE31" t="s">
        <v>79</v>
      </c>
      <c r="AF31" t="s">
        <v>80</v>
      </c>
      <c r="AG31" t="s">
        <v>49</v>
      </c>
      <c r="AH31" t="s">
        <v>50</v>
      </c>
      <c r="AI31" s="7" t="str">
        <f t="shared" si="0"/>
        <v>10501938_7C_   1 T_188G</v>
      </c>
      <c r="AJ31" t="s">
        <v>51</v>
      </c>
      <c r="AK31" t="s">
        <v>52</v>
      </c>
      <c r="AL31" s="1">
        <v>32718</v>
      </c>
      <c r="AM31">
        <v>5400</v>
      </c>
    </row>
    <row r="32" spans="1:39" x14ac:dyDescent="0.35">
      <c r="A32" s="3">
        <v>10501938</v>
      </c>
      <c r="B32" s="3" t="str">
        <f t="shared" si="1"/>
        <v>7C-   1 C-188G</v>
      </c>
      <c r="C32" t="s">
        <v>78</v>
      </c>
      <c r="D32" t="s">
        <v>41</v>
      </c>
      <c r="E32">
        <v>7</v>
      </c>
      <c r="F32">
        <v>50</v>
      </c>
      <c r="G32" t="s">
        <v>42</v>
      </c>
      <c r="H32">
        <v>31.046798079999999</v>
      </c>
      <c r="I32" t="str">
        <f>"-102.26904966"</f>
        <v>-102.26904966</v>
      </c>
      <c r="J32">
        <v>31.046948610000001</v>
      </c>
      <c r="K32" t="str">
        <f>"-102.26946456"</f>
        <v>-102.26946456</v>
      </c>
      <c r="L32" t="s">
        <v>43</v>
      </c>
      <c r="Q32">
        <v>0</v>
      </c>
      <c r="R32" t="s">
        <v>44</v>
      </c>
      <c r="AA32" t="s">
        <v>45</v>
      </c>
      <c r="AB32" t="s">
        <v>46</v>
      </c>
      <c r="AC32" t="str">
        <f>"03790"</f>
        <v>03790</v>
      </c>
      <c r="AD32">
        <v>773840</v>
      </c>
      <c r="AE32" t="s">
        <v>79</v>
      </c>
      <c r="AG32" t="s">
        <v>53</v>
      </c>
      <c r="AH32" t="s">
        <v>54</v>
      </c>
      <c r="AI32" s="7" t="str">
        <f t="shared" si="0"/>
        <v>10501938_7C_   1 C_188G</v>
      </c>
      <c r="AJ32" t="s">
        <v>51</v>
      </c>
      <c r="AK32" t="s">
        <v>52</v>
      </c>
      <c r="AL32" s="1">
        <v>32718</v>
      </c>
      <c r="AM32">
        <v>5400</v>
      </c>
    </row>
    <row r="33" spans="1:39" x14ac:dyDescent="0.35">
      <c r="A33" s="3">
        <v>10501938</v>
      </c>
      <c r="B33" s="3" t="str">
        <f t="shared" si="1"/>
        <v>08- 188G -188G</v>
      </c>
      <c r="C33" t="s">
        <v>78</v>
      </c>
      <c r="D33" t="s">
        <v>41</v>
      </c>
      <c r="E33">
        <v>7</v>
      </c>
      <c r="F33">
        <v>50</v>
      </c>
      <c r="G33" t="s">
        <v>42</v>
      </c>
      <c r="H33">
        <v>31.046798079999999</v>
      </c>
      <c r="I33" t="str">
        <f>"-102.26904966"</f>
        <v>-102.26904966</v>
      </c>
      <c r="J33">
        <v>31.046948610000001</v>
      </c>
      <c r="K33" t="str">
        <f>"-102.26946456"</f>
        <v>-102.26946456</v>
      </c>
      <c r="L33" t="s">
        <v>43</v>
      </c>
      <c r="Q33">
        <v>0</v>
      </c>
      <c r="R33" t="s">
        <v>44</v>
      </c>
      <c r="AA33" t="s">
        <v>45</v>
      </c>
      <c r="AB33" t="str">
        <f>"08"</f>
        <v>08</v>
      </c>
      <c r="AC33">
        <v>21736</v>
      </c>
      <c r="AD33">
        <v>617544</v>
      </c>
      <c r="AE33" t="s">
        <v>55</v>
      </c>
      <c r="AF33" t="s">
        <v>66</v>
      </c>
      <c r="AG33" t="s">
        <v>56</v>
      </c>
      <c r="AH33" t="s">
        <v>81</v>
      </c>
      <c r="AI33" s="7" t="str">
        <f t="shared" si="0"/>
        <v>10501938_08_ 188G _188G</v>
      </c>
      <c r="AJ33" t="s">
        <v>51</v>
      </c>
      <c r="AK33" t="s">
        <v>52</v>
      </c>
      <c r="AL33" s="1">
        <v>32718</v>
      </c>
      <c r="AM33">
        <v>5400</v>
      </c>
    </row>
    <row r="34" spans="1:39" x14ac:dyDescent="0.35">
      <c r="A34" s="3">
        <v>10502537</v>
      </c>
      <c r="B34" s="3" t="str">
        <f t="shared" si="1"/>
        <v>7C-1-170</v>
      </c>
      <c r="C34">
        <v>170</v>
      </c>
      <c r="D34" t="s">
        <v>63</v>
      </c>
      <c r="E34">
        <v>4</v>
      </c>
      <c r="F34">
        <v>15</v>
      </c>
      <c r="G34" t="s">
        <v>40</v>
      </c>
      <c r="H34">
        <v>31.046924700000002</v>
      </c>
      <c r="I34" t="str">
        <f>"-102.2795176"</f>
        <v>-102.2795176</v>
      </c>
      <c r="J34">
        <v>31.04707514</v>
      </c>
      <c r="K34" t="str">
        <f>"-102.27993277"</f>
        <v>-102.27993277</v>
      </c>
      <c r="L34" t="s">
        <v>65</v>
      </c>
      <c r="Q34">
        <v>5222</v>
      </c>
      <c r="R34" t="s">
        <v>44</v>
      </c>
      <c r="AA34" t="s">
        <v>45</v>
      </c>
      <c r="AB34" t="s">
        <v>46</v>
      </c>
      <c r="AC34" t="str">
        <f>"03870"</f>
        <v>03870</v>
      </c>
      <c r="AD34">
        <v>773840</v>
      </c>
      <c r="AE34" t="s">
        <v>79</v>
      </c>
      <c r="AF34" t="s">
        <v>82</v>
      </c>
      <c r="AG34" t="s">
        <v>49</v>
      </c>
      <c r="AH34">
        <v>1</v>
      </c>
      <c r="AI34" s="7" t="str">
        <f t="shared" si="0"/>
        <v>10502537_7C_1_170</v>
      </c>
      <c r="AJ34" t="s">
        <v>51</v>
      </c>
      <c r="AK34" t="s">
        <v>52</v>
      </c>
    </row>
    <row r="35" spans="1:39" x14ac:dyDescent="0.35">
      <c r="A35" s="3">
        <v>10502537</v>
      </c>
      <c r="B35" s="3" t="str">
        <f t="shared" si="1"/>
        <v>08-170-170</v>
      </c>
      <c r="C35">
        <v>170</v>
      </c>
      <c r="D35" t="s">
        <v>63</v>
      </c>
      <c r="E35">
        <v>4</v>
      </c>
      <c r="F35">
        <v>15</v>
      </c>
      <c r="G35" t="s">
        <v>40</v>
      </c>
      <c r="H35">
        <v>31.046924700000002</v>
      </c>
      <c r="I35" t="str">
        <f>"-102.2795176"</f>
        <v>-102.2795176</v>
      </c>
      <c r="J35">
        <v>31.04707514</v>
      </c>
      <c r="K35" t="str">
        <f>"-102.27993277"</f>
        <v>-102.27993277</v>
      </c>
      <c r="L35" t="s">
        <v>65</v>
      </c>
      <c r="Q35">
        <v>5222</v>
      </c>
      <c r="R35" t="s">
        <v>44</v>
      </c>
      <c r="AA35" t="s">
        <v>45</v>
      </c>
      <c r="AB35" t="str">
        <f>"08"</f>
        <v>08</v>
      </c>
      <c r="AC35">
        <v>21736</v>
      </c>
      <c r="AD35">
        <v>617544</v>
      </c>
      <c r="AE35" t="s">
        <v>55</v>
      </c>
      <c r="AF35" t="s">
        <v>66</v>
      </c>
      <c r="AG35" t="s">
        <v>56</v>
      </c>
      <c r="AH35">
        <v>170</v>
      </c>
      <c r="AI35" s="7" t="str">
        <f t="shared" si="0"/>
        <v>10502537_08_170_170</v>
      </c>
      <c r="AJ35" t="s">
        <v>72</v>
      </c>
      <c r="AK35" t="s">
        <v>73</v>
      </c>
    </row>
    <row r="36" spans="1:39" x14ac:dyDescent="0.35">
      <c r="A36" s="3">
        <v>10502537</v>
      </c>
      <c r="B36" s="3" t="str">
        <f t="shared" si="1"/>
        <v>08- 170G -170</v>
      </c>
      <c r="C36">
        <v>170</v>
      </c>
      <c r="D36" t="s">
        <v>63</v>
      </c>
      <c r="E36">
        <v>4</v>
      </c>
      <c r="F36">
        <v>15</v>
      </c>
      <c r="G36" t="s">
        <v>40</v>
      </c>
      <c r="H36">
        <v>31.046924700000002</v>
      </c>
      <c r="I36" t="str">
        <f>"-102.2795176"</f>
        <v>-102.2795176</v>
      </c>
      <c r="J36">
        <v>31.04707514</v>
      </c>
      <c r="K36" t="str">
        <f>"-102.27993277"</f>
        <v>-102.27993277</v>
      </c>
      <c r="L36" t="s">
        <v>65</v>
      </c>
      <c r="Q36">
        <v>5222</v>
      </c>
      <c r="R36" t="s">
        <v>44</v>
      </c>
      <c r="AA36" t="s">
        <v>45</v>
      </c>
      <c r="AB36" t="str">
        <f>"08"</f>
        <v>08</v>
      </c>
      <c r="AC36">
        <v>21736</v>
      </c>
      <c r="AD36">
        <v>617544</v>
      </c>
      <c r="AE36" t="s">
        <v>55</v>
      </c>
      <c r="AF36" t="s">
        <v>66</v>
      </c>
      <c r="AG36" t="s">
        <v>56</v>
      </c>
      <c r="AH36" t="s">
        <v>83</v>
      </c>
      <c r="AI36" s="7" t="str">
        <f t="shared" si="0"/>
        <v>10502537_08_ 170G _170</v>
      </c>
      <c r="AJ36" t="s">
        <v>51</v>
      </c>
      <c r="AK36" t="s">
        <v>52</v>
      </c>
    </row>
    <row r="37" spans="1:39" x14ac:dyDescent="0.35">
      <c r="A37" s="3">
        <v>10502538</v>
      </c>
      <c r="B37" s="3" t="str">
        <f t="shared" si="1"/>
        <v>7C-2-169G</v>
      </c>
      <c r="C37" t="s">
        <v>84</v>
      </c>
      <c r="D37" t="s">
        <v>76</v>
      </c>
      <c r="E37">
        <v>21</v>
      </c>
      <c r="F37">
        <v>50</v>
      </c>
      <c r="G37" t="s">
        <v>42</v>
      </c>
      <c r="H37">
        <v>2962903.1893044598</v>
      </c>
      <c r="I37" t="str">
        <f>"2286815.90846457"</f>
        <v>2286815.90846457</v>
      </c>
      <c r="J37">
        <v>31.04436806</v>
      </c>
      <c r="K37" t="str">
        <f>"-102.28256979"</f>
        <v>-102.28256979</v>
      </c>
      <c r="L37" t="s">
        <v>65</v>
      </c>
      <c r="Q37">
        <v>5215</v>
      </c>
      <c r="R37" t="s">
        <v>44</v>
      </c>
      <c r="AA37" t="s">
        <v>45</v>
      </c>
      <c r="AB37" t="s">
        <v>46</v>
      </c>
      <c r="AC37" t="str">
        <f>"03870"</f>
        <v>03870</v>
      </c>
      <c r="AD37">
        <v>773840</v>
      </c>
      <c r="AE37" t="s">
        <v>79</v>
      </c>
      <c r="AF37" t="s">
        <v>82</v>
      </c>
      <c r="AG37" t="s">
        <v>49</v>
      </c>
      <c r="AH37">
        <v>2</v>
      </c>
      <c r="AI37" s="7" t="str">
        <f t="shared" si="0"/>
        <v>10502538_7C_2_169G</v>
      </c>
      <c r="AJ37" t="s">
        <v>51</v>
      </c>
      <c r="AK37" t="s">
        <v>52</v>
      </c>
    </row>
    <row r="38" spans="1:39" x14ac:dyDescent="0.35">
      <c r="A38" s="3">
        <v>10502538</v>
      </c>
      <c r="B38" s="3" t="str">
        <f t="shared" si="1"/>
        <v>08-169-169G</v>
      </c>
      <c r="C38" t="s">
        <v>84</v>
      </c>
      <c r="D38" t="s">
        <v>76</v>
      </c>
      <c r="E38">
        <v>21</v>
      </c>
      <c r="F38">
        <v>50</v>
      </c>
      <c r="G38" t="s">
        <v>42</v>
      </c>
      <c r="H38">
        <v>2962903.1893044598</v>
      </c>
      <c r="I38" t="str">
        <f>"2286815.90846457"</f>
        <v>2286815.90846457</v>
      </c>
      <c r="J38">
        <v>31.04436806</v>
      </c>
      <c r="K38" t="str">
        <f>"-102.28256979"</f>
        <v>-102.28256979</v>
      </c>
      <c r="L38" t="s">
        <v>65</v>
      </c>
      <c r="Q38">
        <v>5215</v>
      </c>
      <c r="R38" t="s">
        <v>44</v>
      </c>
      <c r="AA38" t="s">
        <v>45</v>
      </c>
      <c r="AB38" t="str">
        <f t="shared" ref="AB38:AB45" si="5">"08"</f>
        <v>08</v>
      </c>
      <c r="AC38">
        <v>21736</v>
      </c>
      <c r="AD38">
        <v>617544</v>
      </c>
      <c r="AE38" t="s">
        <v>55</v>
      </c>
      <c r="AF38" t="s">
        <v>66</v>
      </c>
      <c r="AG38" t="s">
        <v>56</v>
      </c>
      <c r="AH38">
        <v>169</v>
      </c>
      <c r="AI38" s="7" t="str">
        <f t="shared" si="0"/>
        <v>10502538_08_169_169G</v>
      </c>
      <c r="AJ38" t="s">
        <v>51</v>
      </c>
      <c r="AK38" t="s">
        <v>52</v>
      </c>
    </row>
    <row r="39" spans="1:39" x14ac:dyDescent="0.35">
      <c r="A39" s="3">
        <v>10502538</v>
      </c>
      <c r="B39" s="3" t="str">
        <f t="shared" si="1"/>
        <v>08- 169G -169G</v>
      </c>
      <c r="C39" t="s">
        <v>84</v>
      </c>
      <c r="D39" t="s">
        <v>76</v>
      </c>
      <c r="E39">
        <v>21</v>
      </c>
      <c r="F39">
        <v>50</v>
      </c>
      <c r="G39" t="s">
        <v>42</v>
      </c>
      <c r="H39">
        <v>2962903.1893044598</v>
      </c>
      <c r="I39" t="str">
        <f>"2286815.90846457"</f>
        <v>2286815.90846457</v>
      </c>
      <c r="J39">
        <v>31.04436806</v>
      </c>
      <c r="K39" t="str">
        <f>"-102.28256979"</f>
        <v>-102.28256979</v>
      </c>
      <c r="L39" t="s">
        <v>65</v>
      </c>
      <c r="Q39">
        <v>5215</v>
      </c>
      <c r="R39" t="s">
        <v>44</v>
      </c>
      <c r="AA39" t="s">
        <v>45</v>
      </c>
      <c r="AB39" t="str">
        <f t="shared" si="5"/>
        <v>08</v>
      </c>
      <c r="AC39">
        <v>21736</v>
      </c>
      <c r="AD39">
        <v>617544</v>
      </c>
      <c r="AE39" t="s">
        <v>55</v>
      </c>
      <c r="AF39" t="s">
        <v>66</v>
      </c>
      <c r="AG39" t="s">
        <v>56</v>
      </c>
      <c r="AH39" t="s">
        <v>85</v>
      </c>
      <c r="AI39" s="7" t="str">
        <f t="shared" si="0"/>
        <v>10502538_08_ 169G _169G</v>
      </c>
      <c r="AJ39" t="s">
        <v>86</v>
      </c>
      <c r="AK39" t="s">
        <v>73</v>
      </c>
    </row>
    <row r="40" spans="1:39" x14ac:dyDescent="0.35">
      <c r="A40" s="3">
        <v>10502539</v>
      </c>
      <c r="B40" s="3" t="str">
        <f t="shared" si="1"/>
        <v>08-3-161</v>
      </c>
      <c r="C40">
        <v>161</v>
      </c>
      <c r="D40" t="s">
        <v>63</v>
      </c>
      <c r="E40">
        <v>4</v>
      </c>
      <c r="F40">
        <v>50</v>
      </c>
      <c r="G40" t="s">
        <v>42</v>
      </c>
      <c r="H40">
        <v>31.048946579999999</v>
      </c>
      <c r="I40" t="str">
        <f>"-102.28298885"</f>
        <v>-102.28298885</v>
      </c>
      <c r="J40">
        <v>31.04909696</v>
      </c>
      <c r="K40" t="str">
        <f>"-102.28340409"</f>
        <v>-102.28340409</v>
      </c>
      <c r="L40" t="s">
        <v>65</v>
      </c>
      <c r="Q40">
        <v>5236</v>
      </c>
      <c r="R40" t="s">
        <v>44</v>
      </c>
      <c r="AA40" t="s">
        <v>45</v>
      </c>
      <c r="AB40" t="str">
        <f t="shared" si="5"/>
        <v>08</v>
      </c>
      <c r="AC40">
        <v>16974</v>
      </c>
      <c r="AD40">
        <v>773840</v>
      </c>
      <c r="AE40" t="s">
        <v>79</v>
      </c>
      <c r="AF40" t="s">
        <v>82</v>
      </c>
      <c r="AG40" t="s">
        <v>58</v>
      </c>
      <c r="AH40">
        <v>3</v>
      </c>
      <c r="AI40" s="7" t="str">
        <f t="shared" si="0"/>
        <v>10502539_08_3_161</v>
      </c>
      <c r="AJ40" t="s">
        <v>51</v>
      </c>
      <c r="AK40" t="s">
        <v>52</v>
      </c>
    </row>
    <row r="41" spans="1:39" x14ac:dyDescent="0.35">
      <c r="A41" s="3">
        <v>10502539</v>
      </c>
      <c r="B41" s="3" t="str">
        <f t="shared" si="1"/>
        <v>08-161-161</v>
      </c>
      <c r="C41">
        <v>161</v>
      </c>
      <c r="D41" t="s">
        <v>63</v>
      </c>
      <c r="E41">
        <v>4</v>
      </c>
      <c r="F41">
        <v>50</v>
      </c>
      <c r="G41" t="s">
        <v>42</v>
      </c>
      <c r="H41">
        <v>31.048946579999999</v>
      </c>
      <c r="I41" t="str">
        <f>"-102.28298885"</f>
        <v>-102.28298885</v>
      </c>
      <c r="J41">
        <v>31.04909696</v>
      </c>
      <c r="K41" t="str">
        <f>"-102.28340409"</f>
        <v>-102.28340409</v>
      </c>
      <c r="L41" t="s">
        <v>65</v>
      </c>
      <c r="Q41">
        <v>5236</v>
      </c>
      <c r="R41" t="s">
        <v>44</v>
      </c>
      <c r="AA41" t="s">
        <v>45</v>
      </c>
      <c r="AB41" t="str">
        <f t="shared" si="5"/>
        <v>08</v>
      </c>
      <c r="AC41">
        <v>21736</v>
      </c>
      <c r="AD41">
        <v>617544</v>
      </c>
      <c r="AE41" t="s">
        <v>55</v>
      </c>
      <c r="AF41" t="s">
        <v>66</v>
      </c>
      <c r="AG41" t="s">
        <v>56</v>
      </c>
      <c r="AH41">
        <v>161</v>
      </c>
      <c r="AI41" s="7" t="str">
        <f t="shared" si="0"/>
        <v>10502539_08_161_161</v>
      </c>
      <c r="AJ41" t="s">
        <v>72</v>
      </c>
      <c r="AK41" t="s">
        <v>73</v>
      </c>
    </row>
    <row r="42" spans="1:39" x14ac:dyDescent="0.35">
      <c r="A42" s="3">
        <v>10502540</v>
      </c>
      <c r="B42" s="3" t="str">
        <f t="shared" si="1"/>
        <v>08-4-160</v>
      </c>
      <c r="C42">
        <v>160</v>
      </c>
      <c r="D42" t="s">
        <v>76</v>
      </c>
      <c r="E42">
        <v>21</v>
      </c>
      <c r="F42">
        <v>50</v>
      </c>
      <c r="G42" t="s">
        <v>42</v>
      </c>
      <c r="H42">
        <v>2963701.6414041999</v>
      </c>
      <c r="I42" t="str">
        <f>"2285865.87171917"</f>
        <v>2285865.87171917</v>
      </c>
      <c r="J42">
        <v>31.046513319999999</v>
      </c>
      <c r="K42" t="str">
        <f>"-102.28566184"</f>
        <v>-102.28566184</v>
      </c>
      <c r="L42" t="s">
        <v>65</v>
      </c>
      <c r="Q42">
        <v>5120</v>
      </c>
      <c r="R42" t="s">
        <v>44</v>
      </c>
      <c r="AA42" t="s">
        <v>45</v>
      </c>
      <c r="AB42" t="str">
        <f t="shared" si="5"/>
        <v>08</v>
      </c>
      <c r="AC42">
        <v>16974</v>
      </c>
      <c r="AD42">
        <v>773840</v>
      </c>
      <c r="AE42" t="s">
        <v>79</v>
      </c>
      <c r="AF42" t="s">
        <v>82</v>
      </c>
      <c r="AG42" t="s">
        <v>58</v>
      </c>
      <c r="AH42">
        <v>4</v>
      </c>
      <c r="AI42" s="7" t="str">
        <f t="shared" si="0"/>
        <v>10502540_08_4_160</v>
      </c>
      <c r="AJ42" t="s">
        <v>51</v>
      </c>
      <c r="AK42" t="s">
        <v>52</v>
      </c>
    </row>
    <row r="43" spans="1:39" x14ac:dyDescent="0.35">
      <c r="A43" s="3">
        <v>10502540</v>
      </c>
      <c r="B43" s="3" t="str">
        <f t="shared" si="1"/>
        <v>08-160-160</v>
      </c>
      <c r="C43">
        <v>160</v>
      </c>
      <c r="D43" t="s">
        <v>76</v>
      </c>
      <c r="E43">
        <v>21</v>
      </c>
      <c r="F43">
        <v>50</v>
      </c>
      <c r="G43" t="s">
        <v>42</v>
      </c>
      <c r="H43">
        <v>2963701.6414041999</v>
      </c>
      <c r="I43" t="str">
        <f>"2285865.87171917"</f>
        <v>2285865.87171917</v>
      </c>
      <c r="J43">
        <v>31.046513319999999</v>
      </c>
      <c r="K43" t="str">
        <f>"-102.28566184"</f>
        <v>-102.28566184</v>
      </c>
      <c r="L43" t="s">
        <v>65</v>
      </c>
      <c r="Q43">
        <v>5120</v>
      </c>
      <c r="R43" t="s">
        <v>44</v>
      </c>
      <c r="AA43" t="s">
        <v>45</v>
      </c>
      <c r="AB43" t="str">
        <f t="shared" si="5"/>
        <v>08</v>
      </c>
      <c r="AC43">
        <v>21736</v>
      </c>
      <c r="AD43">
        <v>617544</v>
      </c>
      <c r="AE43" t="s">
        <v>55</v>
      </c>
      <c r="AF43" t="s">
        <v>66</v>
      </c>
      <c r="AG43" t="s">
        <v>56</v>
      </c>
      <c r="AH43">
        <v>160</v>
      </c>
      <c r="AI43" s="7" t="str">
        <f t="shared" si="0"/>
        <v>10502540_08_160_160</v>
      </c>
      <c r="AJ43" t="s">
        <v>86</v>
      </c>
      <c r="AK43" t="s">
        <v>73</v>
      </c>
    </row>
    <row r="44" spans="1:39" x14ac:dyDescent="0.35">
      <c r="A44" s="3">
        <v>10502547</v>
      </c>
      <c r="B44" s="3" t="str">
        <f t="shared" si="1"/>
        <v>08-1-165</v>
      </c>
      <c r="C44">
        <v>165</v>
      </c>
      <c r="D44" t="s">
        <v>63</v>
      </c>
      <c r="E44">
        <v>4</v>
      </c>
      <c r="F44">
        <v>50</v>
      </c>
      <c r="G44" t="s">
        <v>42</v>
      </c>
      <c r="H44">
        <v>31.059931209999998</v>
      </c>
      <c r="I44" t="str">
        <f>"-102.27210214"</f>
        <v>-102.27210214</v>
      </c>
      <c r="J44">
        <v>31.060081289999999</v>
      </c>
      <c r="K44" t="str">
        <f>"-102.27251725"</f>
        <v>-102.27251725</v>
      </c>
      <c r="L44" t="s">
        <v>65</v>
      </c>
      <c r="Q44">
        <v>5407</v>
      </c>
      <c r="R44" t="s">
        <v>44</v>
      </c>
      <c r="AA44" t="s">
        <v>45</v>
      </c>
      <c r="AB44" t="str">
        <f t="shared" si="5"/>
        <v>08</v>
      </c>
      <c r="AC44">
        <v>16346</v>
      </c>
      <c r="AD44">
        <v>773840</v>
      </c>
      <c r="AE44" t="s">
        <v>79</v>
      </c>
      <c r="AF44" t="s">
        <v>87</v>
      </c>
      <c r="AG44" t="s">
        <v>58</v>
      </c>
      <c r="AH44">
        <v>1</v>
      </c>
      <c r="AI44" s="7" t="str">
        <f t="shared" si="0"/>
        <v>10502547_08_1_165</v>
      </c>
      <c r="AJ44" t="s">
        <v>51</v>
      </c>
      <c r="AK44" t="s">
        <v>52</v>
      </c>
    </row>
    <row r="45" spans="1:39" x14ac:dyDescent="0.35">
      <c r="A45" s="3">
        <v>10502547</v>
      </c>
      <c r="B45" s="3" t="str">
        <f t="shared" si="1"/>
        <v>08-165-165</v>
      </c>
      <c r="C45">
        <v>165</v>
      </c>
      <c r="D45" t="s">
        <v>63</v>
      </c>
      <c r="E45">
        <v>4</v>
      </c>
      <c r="F45">
        <v>50</v>
      </c>
      <c r="G45" t="s">
        <v>42</v>
      </c>
      <c r="H45">
        <v>31.059931209999998</v>
      </c>
      <c r="I45" t="str">
        <f>"-102.27210214"</f>
        <v>-102.27210214</v>
      </c>
      <c r="J45">
        <v>31.060081289999999</v>
      </c>
      <c r="K45" t="str">
        <f>"-102.27251725"</f>
        <v>-102.27251725</v>
      </c>
      <c r="L45" t="s">
        <v>65</v>
      </c>
      <c r="Q45">
        <v>5407</v>
      </c>
      <c r="R45" t="s">
        <v>44</v>
      </c>
      <c r="AA45" t="s">
        <v>45</v>
      </c>
      <c r="AB45" t="str">
        <f t="shared" si="5"/>
        <v>08</v>
      </c>
      <c r="AC45">
        <v>21736</v>
      </c>
      <c r="AD45">
        <v>617544</v>
      </c>
      <c r="AE45" t="s">
        <v>55</v>
      </c>
      <c r="AF45" t="s">
        <v>66</v>
      </c>
      <c r="AG45" t="s">
        <v>56</v>
      </c>
      <c r="AH45">
        <v>165</v>
      </c>
      <c r="AI45" s="7" t="str">
        <f t="shared" si="0"/>
        <v>10502547_08_165_165</v>
      </c>
      <c r="AJ45" t="s">
        <v>72</v>
      </c>
      <c r="AK45" t="s">
        <v>73</v>
      </c>
    </row>
    <row r="46" spans="1:39" x14ac:dyDescent="0.35">
      <c r="A46" s="3">
        <v>10502552</v>
      </c>
      <c r="B46" s="3" t="str">
        <f t="shared" si="1"/>
        <v>7C-   2 T-171</v>
      </c>
      <c r="C46">
        <v>171</v>
      </c>
      <c r="D46" t="s">
        <v>63</v>
      </c>
      <c r="E46">
        <v>4</v>
      </c>
      <c r="F46">
        <v>50</v>
      </c>
      <c r="G46" t="s">
        <v>42</v>
      </c>
      <c r="H46">
        <v>31.04893478</v>
      </c>
      <c r="I46" t="str">
        <f>"-102.27741214"</f>
        <v>-102.27741214</v>
      </c>
      <c r="J46">
        <v>31.04908519</v>
      </c>
      <c r="K46" t="str">
        <f>"-102.27782723"</f>
        <v>-102.27782723</v>
      </c>
      <c r="L46" t="s">
        <v>65</v>
      </c>
      <c r="Q46">
        <v>5265</v>
      </c>
      <c r="R46" t="s">
        <v>44</v>
      </c>
      <c r="AA46" t="s">
        <v>45</v>
      </c>
      <c r="AB46" t="s">
        <v>46</v>
      </c>
      <c r="AC46" t="str">
        <f>"03920"</f>
        <v>03920</v>
      </c>
      <c r="AD46">
        <v>773840</v>
      </c>
      <c r="AE46" t="s">
        <v>79</v>
      </c>
      <c r="AF46" t="s">
        <v>87</v>
      </c>
      <c r="AG46" t="s">
        <v>49</v>
      </c>
      <c r="AH46" t="s">
        <v>59</v>
      </c>
      <c r="AI46" s="7" t="str">
        <f t="shared" si="0"/>
        <v>10502552_7C_   2 T_171</v>
      </c>
      <c r="AJ46" t="s">
        <v>51</v>
      </c>
      <c r="AK46" t="s">
        <v>52</v>
      </c>
    </row>
    <row r="47" spans="1:39" x14ac:dyDescent="0.35">
      <c r="A47" s="3">
        <v>10502552</v>
      </c>
      <c r="B47" s="3" t="str">
        <f t="shared" si="1"/>
        <v>7C-   2 C-171</v>
      </c>
      <c r="C47">
        <v>171</v>
      </c>
      <c r="D47" t="s">
        <v>63</v>
      </c>
      <c r="E47">
        <v>4</v>
      </c>
      <c r="F47">
        <v>50</v>
      </c>
      <c r="G47" t="s">
        <v>42</v>
      </c>
      <c r="H47">
        <v>31.04893478</v>
      </c>
      <c r="I47" t="str">
        <f>"-102.27741214"</f>
        <v>-102.27741214</v>
      </c>
      <c r="J47">
        <v>31.04908519</v>
      </c>
      <c r="K47" t="str">
        <f>"-102.27782723"</f>
        <v>-102.27782723</v>
      </c>
      <c r="L47" t="s">
        <v>65</v>
      </c>
      <c r="Q47">
        <v>5265</v>
      </c>
      <c r="R47" t="s">
        <v>44</v>
      </c>
      <c r="AA47" t="s">
        <v>45</v>
      </c>
      <c r="AB47" t="s">
        <v>46</v>
      </c>
      <c r="AC47" t="str">
        <f>"03929"</f>
        <v>03929</v>
      </c>
      <c r="AD47">
        <v>773840</v>
      </c>
      <c r="AE47" t="s">
        <v>79</v>
      </c>
      <c r="AF47" t="s">
        <v>87</v>
      </c>
      <c r="AG47" t="s">
        <v>53</v>
      </c>
      <c r="AH47" t="s">
        <v>88</v>
      </c>
      <c r="AI47" s="7" t="str">
        <f t="shared" si="0"/>
        <v>10502552_7C_   2 C_171</v>
      </c>
      <c r="AJ47" t="s">
        <v>51</v>
      </c>
      <c r="AK47" t="s">
        <v>52</v>
      </c>
    </row>
    <row r="48" spans="1:39" x14ac:dyDescent="0.35">
      <c r="A48" s="3">
        <v>10502552</v>
      </c>
      <c r="B48" s="3" t="str">
        <f t="shared" si="1"/>
        <v>08-171-171</v>
      </c>
      <c r="C48">
        <v>171</v>
      </c>
      <c r="D48" t="s">
        <v>63</v>
      </c>
      <c r="E48">
        <v>4</v>
      </c>
      <c r="F48">
        <v>50</v>
      </c>
      <c r="G48" t="s">
        <v>42</v>
      </c>
      <c r="H48">
        <v>31.04893478</v>
      </c>
      <c r="I48" t="str">
        <f>"-102.27741214"</f>
        <v>-102.27741214</v>
      </c>
      <c r="J48">
        <v>31.04908519</v>
      </c>
      <c r="K48" t="str">
        <f>"-102.27782723"</f>
        <v>-102.27782723</v>
      </c>
      <c r="L48" t="s">
        <v>65</v>
      </c>
      <c r="Q48">
        <v>5265</v>
      </c>
      <c r="R48" t="s">
        <v>44</v>
      </c>
      <c r="AA48" t="s">
        <v>45</v>
      </c>
      <c r="AB48" t="str">
        <f>"08"</f>
        <v>08</v>
      </c>
      <c r="AC48">
        <v>21736</v>
      </c>
      <c r="AD48">
        <v>617544</v>
      </c>
      <c r="AE48" t="s">
        <v>55</v>
      </c>
      <c r="AF48" t="s">
        <v>66</v>
      </c>
      <c r="AG48" t="s">
        <v>56</v>
      </c>
      <c r="AH48">
        <v>171</v>
      </c>
      <c r="AI48" s="7" t="str">
        <f t="shared" si="0"/>
        <v>10502552_08_171_171</v>
      </c>
      <c r="AJ48" t="s">
        <v>72</v>
      </c>
      <c r="AK48" t="s">
        <v>73</v>
      </c>
    </row>
    <row r="49" spans="1:39" x14ac:dyDescent="0.35">
      <c r="A49" s="3">
        <v>10502552</v>
      </c>
      <c r="B49" s="3" t="str">
        <f t="shared" si="1"/>
        <v>08-171-171</v>
      </c>
      <c r="C49">
        <v>171</v>
      </c>
      <c r="D49" t="s">
        <v>63</v>
      </c>
      <c r="E49">
        <v>4</v>
      </c>
      <c r="F49">
        <v>50</v>
      </c>
      <c r="G49" t="s">
        <v>42</v>
      </c>
      <c r="H49">
        <v>31.04893478</v>
      </c>
      <c r="I49" t="str">
        <f>"-102.27741214"</f>
        <v>-102.27741214</v>
      </c>
      <c r="J49">
        <v>31.04908519</v>
      </c>
      <c r="K49" t="str">
        <f>"-102.27782723"</f>
        <v>-102.27782723</v>
      </c>
      <c r="L49" t="s">
        <v>65</v>
      </c>
      <c r="Q49">
        <v>5265</v>
      </c>
      <c r="R49" t="s">
        <v>44</v>
      </c>
      <c r="AA49" t="s">
        <v>45</v>
      </c>
      <c r="AB49" t="str">
        <f>"08"</f>
        <v>08</v>
      </c>
      <c r="AC49">
        <v>21737</v>
      </c>
      <c r="AD49">
        <v>773840</v>
      </c>
      <c r="AE49" t="s">
        <v>79</v>
      </c>
      <c r="AF49" t="s">
        <v>66</v>
      </c>
      <c r="AG49" t="s">
        <v>58</v>
      </c>
      <c r="AH49">
        <v>171</v>
      </c>
      <c r="AI49" s="7" t="str">
        <f t="shared" si="0"/>
        <v>10502552_08_171_171</v>
      </c>
      <c r="AJ49" t="s">
        <v>51</v>
      </c>
      <c r="AK49" t="s">
        <v>52</v>
      </c>
    </row>
    <row r="50" spans="1:39" x14ac:dyDescent="0.35">
      <c r="A50" s="3">
        <v>10502552</v>
      </c>
      <c r="B50" s="3" t="str">
        <f t="shared" si="1"/>
        <v>08- 171 L-171</v>
      </c>
      <c r="C50">
        <v>171</v>
      </c>
      <c r="D50" t="s">
        <v>63</v>
      </c>
      <c r="E50">
        <v>4</v>
      </c>
      <c r="F50">
        <v>50</v>
      </c>
      <c r="G50" t="s">
        <v>42</v>
      </c>
      <c r="H50">
        <v>31.04893478</v>
      </c>
      <c r="I50" t="str">
        <f>"-102.27741214"</f>
        <v>-102.27741214</v>
      </c>
      <c r="J50">
        <v>31.04908519</v>
      </c>
      <c r="K50" t="str">
        <f>"-102.27782723"</f>
        <v>-102.27782723</v>
      </c>
      <c r="L50" t="s">
        <v>65</v>
      </c>
      <c r="Q50">
        <v>5265</v>
      </c>
      <c r="R50" t="s">
        <v>44</v>
      </c>
      <c r="AA50" t="s">
        <v>45</v>
      </c>
      <c r="AB50" t="str">
        <f>"08"</f>
        <v>08</v>
      </c>
      <c r="AC50">
        <v>21737</v>
      </c>
      <c r="AD50">
        <v>773840</v>
      </c>
      <c r="AE50" t="s">
        <v>79</v>
      </c>
      <c r="AF50" t="s">
        <v>66</v>
      </c>
      <c r="AG50" t="s">
        <v>58</v>
      </c>
      <c r="AH50" t="s">
        <v>89</v>
      </c>
      <c r="AI50" s="7" t="str">
        <f t="shared" si="0"/>
        <v>10502552_08_ 171 L_171</v>
      </c>
      <c r="AJ50" t="s">
        <v>51</v>
      </c>
      <c r="AK50" t="s">
        <v>52</v>
      </c>
    </row>
    <row r="51" spans="1:39" x14ac:dyDescent="0.35">
      <c r="A51" s="3">
        <v>10502556</v>
      </c>
      <c r="B51" s="3" t="str">
        <f t="shared" si="1"/>
        <v>7C-   3 T-172G</v>
      </c>
      <c r="C51" t="s">
        <v>90</v>
      </c>
      <c r="D51" t="s">
        <v>76</v>
      </c>
      <c r="E51">
        <v>21</v>
      </c>
      <c r="F51">
        <v>50</v>
      </c>
      <c r="G51" t="s">
        <v>42</v>
      </c>
      <c r="H51">
        <v>31.051108809999999</v>
      </c>
      <c r="I51" t="str">
        <f>"-102.27535334"</f>
        <v>-102.27535334</v>
      </c>
      <c r="J51">
        <v>31.051282449999999</v>
      </c>
      <c r="K51" t="str">
        <f>"-102.27578939"</f>
        <v>-102.27578939</v>
      </c>
      <c r="L51" t="s">
        <v>65</v>
      </c>
      <c r="Q51">
        <v>5350</v>
      </c>
      <c r="R51" t="s">
        <v>44</v>
      </c>
      <c r="AA51" t="s">
        <v>45</v>
      </c>
      <c r="AB51" t="s">
        <v>46</v>
      </c>
      <c r="AC51" t="str">
        <f>"03920"</f>
        <v>03920</v>
      </c>
      <c r="AD51">
        <v>773840</v>
      </c>
      <c r="AE51" t="s">
        <v>79</v>
      </c>
      <c r="AF51" t="s">
        <v>87</v>
      </c>
      <c r="AG51" t="s">
        <v>49</v>
      </c>
      <c r="AH51" t="s">
        <v>70</v>
      </c>
      <c r="AI51" s="7" t="str">
        <f t="shared" si="0"/>
        <v>10502556_7C_   3 T_172G</v>
      </c>
      <c r="AJ51" t="s">
        <v>51</v>
      </c>
      <c r="AK51" t="s">
        <v>52</v>
      </c>
    </row>
    <row r="52" spans="1:39" x14ac:dyDescent="0.35">
      <c r="A52" s="3">
        <v>10502556</v>
      </c>
      <c r="B52" s="3" t="str">
        <f t="shared" si="1"/>
        <v>7C-   3 C-172G</v>
      </c>
      <c r="C52" t="s">
        <v>90</v>
      </c>
      <c r="D52" t="s">
        <v>76</v>
      </c>
      <c r="E52">
        <v>21</v>
      </c>
      <c r="F52">
        <v>50</v>
      </c>
      <c r="G52" t="s">
        <v>42</v>
      </c>
      <c r="H52">
        <v>31.051108809999999</v>
      </c>
      <c r="I52" t="str">
        <f>"-102.27535334"</f>
        <v>-102.27535334</v>
      </c>
      <c r="J52">
        <v>31.051282449999999</v>
      </c>
      <c r="K52" t="str">
        <f>"-102.27578939"</f>
        <v>-102.27578939</v>
      </c>
      <c r="L52" t="s">
        <v>65</v>
      </c>
      <c r="Q52">
        <v>5350</v>
      </c>
      <c r="R52" t="s">
        <v>44</v>
      </c>
      <c r="AA52" t="s">
        <v>45</v>
      </c>
      <c r="AB52" t="s">
        <v>46</v>
      </c>
      <c r="AC52" t="str">
        <f>"03929"</f>
        <v>03929</v>
      </c>
      <c r="AD52">
        <v>773840</v>
      </c>
      <c r="AE52" t="s">
        <v>79</v>
      </c>
      <c r="AF52" t="s">
        <v>87</v>
      </c>
      <c r="AG52" t="s">
        <v>53</v>
      </c>
      <c r="AH52" t="s">
        <v>71</v>
      </c>
      <c r="AI52" s="7" t="str">
        <f t="shared" si="0"/>
        <v>10502556_7C_   3 C_172G</v>
      </c>
      <c r="AJ52" t="s">
        <v>51</v>
      </c>
      <c r="AK52" t="s">
        <v>52</v>
      </c>
    </row>
    <row r="53" spans="1:39" x14ac:dyDescent="0.35">
      <c r="A53" s="3">
        <v>10502556</v>
      </c>
      <c r="B53" s="3" t="str">
        <f t="shared" si="1"/>
        <v>08-172-172G</v>
      </c>
      <c r="C53" t="s">
        <v>90</v>
      </c>
      <c r="D53" t="s">
        <v>76</v>
      </c>
      <c r="E53">
        <v>21</v>
      </c>
      <c r="F53">
        <v>50</v>
      </c>
      <c r="G53" t="s">
        <v>42</v>
      </c>
      <c r="H53">
        <v>31.051108809999999</v>
      </c>
      <c r="I53" t="str">
        <f>"-102.27535334"</f>
        <v>-102.27535334</v>
      </c>
      <c r="J53">
        <v>31.051282449999999</v>
      </c>
      <c r="K53" t="str">
        <f>"-102.27578939"</f>
        <v>-102.27578939</v>
      </c>
      <c r="L53" t="s">
        <v>65</v>
      </c>
      <c r="Q53">
        <v>5350</v>
      </c>
      <c r="R53" t="s">
        <v>44</v>
      </c>
      <c r="AA53" t="s">
        <v>45</v>
      </c>
      <c r="AB53" t="str">
        <f t="shared" ref="AB53:AB59" si="6">"08"</f>
        <v>08</v>
      </c>
      <c r="AC53">
        <v>21736</v>
      </c>
      <c r="AD53">
        <v>617544</v>
      </c>
      <c r="AE53" t="s">
        <v>55</v>
      </c>
      <c r="AF53" t="s">
        <v>66</v>
      </c>
      <c r="AG53" t="s">
        <v>56</v>
      </c>
      <c r="AH53">
        <v>172</v>
      </c>
      <c r="AI53" s="7" t="str">
        <f t="shared" si="0"/>
        <v>10502556_08_172_172G</v>
      </c>
      <c r="AJ53" t="s">
        <v>51</v>
      </c>
      <c r="AK53" t="s">
        <v>52</v>
      </c>
    </row>
    <row r="54" spans="1:39" x14ac:dyDescent="0.35">
      <c r="A54" s="3">
        <v>10502556</v>
      </c>
      <c r="B54" s="3" t="str">
        <f t="shared" si="1"/>
        <v>08- 172G -172G</v>
      </c>
      <c r="C54" t="s">
        <v>90</v>
      </c>
      <c r="D54" t="s">
        <v>76</v>
      </c>
      <c r="E54">
        <v>21</v>
      </c>
      <c r="F54">
        <v>50</v>
      </c>
      <c r="G54" t="s">
        <v>42</v>
      </c>
      <c r="H54">
        <v>31.051108809999999</v>
      </c>
      <c r="I54" t="str">
        <f>"-102.27535334"</f>
        <v>-102.27535334</v>
      </c>
      <c r="J54">
        <v>31.051282449999999</v>
      </c>
      <c r="K54" t="str">
        <f>"-102.27578939"</f>
        <v>-102.27578939</v>
      </c>
      <c r="L54" t="s">
        <v>65</v>
      </c>
      <c r="Q54">
        <v>5350</v>
      </c>
      <c r="R54" t="s">
        <v>44</v>
      </c>
      <c r="AA54" t="s">
        <v>45</v>
      </c>
      <c r="AB54" t="str">
        <f t="shared" si="6"/>
        <v>08</v>
      </c>
      <c r="AC54">
        <v>21736</v>
      </c>
      <c r="AD54">
        <v>617544</v>
      </c>
      <c r="AE54" t="s">
        <v>55</v>
      </c>
      <c r="AF54" t="s">
        <v>66</v>
      </c>
      <c r="AG54" t="s">
        <v>56</v>
      </c>
      <c r="AH54" t="s">
        <v>91</v>
      </c>
      <c r="AI54" s="7" t="str">
        <f t="shared" si="0"/>
        <v>10502556_08_ 172G _172G</v>
      </c>
      <c r="AJ54" t="s">
        <v>86</v>
      </c>
      <c r="AK54" t="s">
        <v>73</v>
      </c>
    </row>
    <row r="55" spans="1:39" x14ac:dyDescent="0.35">
      <c r="A55" s="3">
        <v>10502556</v>
      </c>
      <c r="B55" s="3" t="str">
        <f t="shared" si="1"/>
        <v>08- 172 L-172G</v>
      </c>
      <c r="C55" t="s">
        <v>90</v>
      </c>
      <c r="D55" t="s">
        <v>76</v>
      </c>
      <c r="E55">
        <v>21</v>
      </c>
      <c r="F55">
        <v>50</v>
      </c>
      <c r="G55" t="s">
        <v>42</v>
      </c>
      <c r="H55">
        <v>31.051108809999999</v>
      </c>
      <c r="I55" t="str">
        <f>"-102.27535334"</f>
        <v>-102.27535334</v>
      </c>
      <c r="J55">
        <v>31.051282449999999</v>
      </c>
      <c r="K55" t="str">
        <f>"-102.27578939"</f>
        <v>-102.27578939</v>
      </c>
      <c r="L55" t="s">
        <v>65</v>
      </c>
      <c r="Q55">
        <v>5350</v>
      </c>
      <c r="R55" t="s">
        <v>44</v>
      </c>
      <c r="AA55" t="s">
        <v>45</v>
      </c>
      <c r="AB55" t="str">
        <f t="shared" si="6"/>
        <v>08</v>
      </c>
      <c r="AC55">
        <v>21737</v>
      </c>
      <c r="AD55">
        <v>773840</v>
      </c>
      <c r="AE55" t="s">
        <v>79</v>
      </c>
      <c r="AF55" t="s">
        <v>66</v>
      </c>
      <c r="AG55" t="s">
        <v>58</v>
      </c>
      <c r="AH55" t="s">
        <v>92</v>
      </c>
      <c r="AI55" s="7" t="str">
        <f t="shared" si="0"/>
        <v>10502556_08_ 172 L_172G</v>
      </c>
      <c r="AJ55" t="s">
        <v>51</v>
      </c>
      <c r="AK55" t="s">
        <v>52</v>
      </c>
    </row>
    <row r="56" spans="1:39" x14ac:dyDescent="0.35">
      <c r="A56" s="3">
        <v>10502560</v>
      </c>
      <c r="B56" s="3" t="str">
        <f t="shared" si="1"/>
        <v>08-   4 T-162</v>
      </c>
      <c r="C56">
        <v>162</v>
      </c>
      <c r="D56" t="s">
        <v>63</v>
      </c>
      <c r="E56">
        <v>4</v>
      </c>
      <c r="F56">
        <v>50</v>
      </c>
      <c r="G56" t="s">
        <v>42</v>
      </c>
      <c r="H56">
        <v>31.05099753</v>
      </c>
      <c r="I56" t="str">
        <f>"-102.28106761"</f>
        <v>-102.28106761</v>
      </c>
      <c r="J56">
        <v>31.05114781</v>
      </c>
      <c r="K56" t="str">
        <f>"-102.28148287"</f>
        <v>-102.28148287</v>
      </c>
      <c r="L56" t="s">
        <v>65</v>
      </c>
      <c r="Q56">
        <v>5190</v>
      </c>
      <c r="R56" t="s">
        <v>44</v>
      </c>
      <c r="AA56" t="s">
        <v>45</v>
      </c>
      <c r="AB56" t="str">
        <f t="shared" si="6"/>
        <v>08</v>
      </c>
      <c r="AC56">
        <v>16346</v>
      </c>
      <c r="AD56">
        <v>773840</v>
      </c>
      <c r="AE56" t="s">
        <v>79</v>
      </c>
      <c r="AF56" t="s">
        <v>87</v>
      </c>
      <c r="AG56" t="s">
        <v>58</v>
      </c>
      <c r="AH56" t="s">
        <v>93</v>
      </c>
      <c r="AI56" s="7" t="str">
        <f t="shared" si="0"/>
        <v>10502560_08_   4 T_162</v>
      </c>
      <c r="AJ56" t="s">
        <v>51</v>
      </c>
      <c r="AK56" t="s">
        <v>52</v>
      </c>
    </row>
    <row r="57" spans="1:39" x14ac:dyDescent="0.35">
      <c r="A57" s="3">
        <v>10502560</v>
      </c>
      <c r="B57" s="3" t="str">
        <f t="shared" si="1"/>
        <v>08-   4 C-162</v>
      </c>
      <c r="C57">
        <v>162</v>
      </c>
      <c r="D57" t="s">
        <v>63</v>
      </c>
      <c r="E57">
        <v>4</v>
      </c>
      <c r="F57">
        <v>50</v>
      </c>
      <c r="G57" t="s">
        <v>42</v>
      </c>
      <c r="H57">
        <v>31.05099753</v>
      </c>
      <c r="I57" t="str">
        <f>"-102.28106761"</f>
        <v>-102.28106761</v>
      </c>
      <c r="J57">
        <v>31.05114781</v>
      </c>
      <c r="K57" t="str">
        <f>"-102.28148287"</f>
        <v>-102.28148287</v>
      </c>
      <c r="L57" t="s">
        <v>65</v>
      </c>
      <c r="Q57">
        <v>5190</v>
      </c>
      <c r="R57" t="s">
        <v>44</v>
      </c>
      <c r="AA57" t="s">
        <v>45</v>
      </c>
      <c r="AB57" t="str">
        <f t="shared" si="6"/>
        <v>08</v>
      </c>
      <c r="AC57">
        <v>19526</v>
      </c>
      <c r="AD57">
        <v>773840</v>
      </c>
      <c r="AE57" t="s">
        <v>79</v>
      </c>
      <c r="AF57" t="s">
        <v>87</v>
      </c>
      <c r="AG57" t="s">
        <v>56</v>
      </c>
      <c r="AH57" t="s">
        <v>94</v>
      </c>
      <c r="AI57" s="7" t="str">
        <f t="shared" si="0"/>
        <v>10502560_08_   4 C_162</v>
      </c>
      <c r="AJ57" t="s">
        <v>51</v>
      </c>
      <c r="AK57" t="s">
        <v>52</v>
      </c>
    </row>
    <row r="58" spans="1:39" x14ac:dyDescent="0.35">
      <c r="A58" s="3">
        <v>10502560</v>
      </c>
      <c r="B58" s="3" t="str">
        <f t="shared" si="1"/>
        <v>08-162-162</v>
      </c>
      <c r="C58">
        <v>162</v>
      </c>
      <c r="D58" t="s">
        <v>63</v>
      </c>
      <c r="E58">
        <v>4</v>
      </c>
      <c r="F58">
        <v>50</v>
      </c>
      <c r="G58" t="s">
        <v>42</v>
      </c>
      <c r="H58">
        <v>31.05099753</v>
      </c>
      <c r="I58" t="str">
        <f>"-102.28106761"</f>
        <v>-102.28106761</v>
      </c>
      <c r="J58">
        <v>31.05114781</v>
      </c>
      <c r="K58" t="str">
        <f>"-102.28148287"</f>
        <v>-102.28148287</v>
      </c>
      <c r="L58" t="s">
        <v>65</v>
      </c>
      <c r="Q58">
        <v>5190</v>
      </c>
      <c r="R58" t="s">
        <v>44</v>
      </c>
      <c r="AA58" t="s">
        <v>45</v>
      </c>
      <c r="AB58" t="str">
        <f t="shared" si="6"/>
        <v>08</v>
      </c>
      <c r="AC58">
        <v>21736</v>
      </c>
      <c r="AD58">
        <v>617544</v>
      </c>
      <c r="AE58" t="s">
        <v>55</v>
      </c>
      <c r="AF58" t="s">
        <v>66</v>
      </c>
      <c r="AG58" t="s">
        <v>56</v>
      </c>
      <c r="AH58">
        <v>162</v>
      </c>
      <c r="AI58" s="7" t="str">
        <f t="shared" si="0"/>
        <v>10502560_08_162_162</v>
      </c>
      <c r="AJ58" t="s">
        <v>72</v>
      </c>
      <c r="AK58" t="s">
        <v>73</v>
      </c>
    </row>
    <row r="59" spans="1:39" x14ac:dyDescent="0.35">
      <c r="A59" s="3">
        <v>10502560</v>
      </c>
      <c r="B59" s="3" t="str">
        <f t="shared" si="1"/>
        <v>08- 162 U-162</v>
      </c>
      <c r="C59">
        <v>162</v>
      </c>
      <c r="D59" t="s">
        <v>63</v>
      </c>
      <c r="E59">
        <v>4</v>
      </c>
      <c r="F59">
        <v>50</v>
      </c>
      <c r="G59" t="s">
        <v>42</v>
      </c>
      <c r="H59">
        <v>31.05099753</v>
      </c>
      <c r="I59" t="str">
        <f>"-102.28106761"</f>
        <v>-102.28106761</v>
      </c>
      <c r="J59">
        <v>31.05114781</v>
      </c>
      <c r="K59" t="str">
        <f>"-102.28148287"</f>
        <v>-102.28148287</v>
      </c>
      <c r="L59" t="s">
        <v>65</v>
      </c>
      <c r="Q59">
        <v>5190</v>
      </c>
      <c r="R59" t="s">
        <v>44</v>
      </c>
      <c r="AA59" t="s">
        <v>45</v>
      </c>
      <c r="AB59" t="str">
        <f t="shared" si="6"/>
        <v>08</v>
      </c>
      <c r="AC59">
        <v>21736</v>
      </c>
      <c r="AD59">
        <v>617544</v>
      </c>
      <c r="AE59" t="s">
        <v>55</v>
      </c>
      <c r="AF59" t="s">
        <v>66</v>
      </c>
      <c r="AG59" t="s">
        <v>56</v>
      </c>
      <c r="AH59" t="s">
        <v>95</v>
      </c>
      <c r="AI59" s="7" t="str">
        <f t="shared" si="0"/>
        <v>10502560_08_ 162 U_162</v>
      </c>
      <c r="AJ59" t="s">
        <v>51</v>
      </c>
      <c r="AK59" t="s">
        <v>52</v>
      </c>
    </row>
    <row r="60" spans="1:39" x14ac:dyDescent="0.35">
      <c r="A60" s="3">
        <v>10502564</v>
      </c>
      <c r="B60" s="3" t="str">
        <f t="shared" si="1"/>
        <v>7C-   5 T-173</v>
      </c>
      <c r="C60">
        <v>173</v>
      </c>
      <c r="D60" t="s">
        <v>76</v>
      </c>
      <c r="E60">
        <v>21</v>
      </c>
      <c r="F60">
        <v>50</v>
      </c>
      <c r="G60" t="s">
        <v>42</v>
      </c>
      <c r="H60">
        <v>2966678.6735564298</v>
      </c>
      <c r="I60" t="str">
        <f>"2290144.23786089"</f>
        <v>2290144.23786089</v>
      </c>
      <c r="J60">
        <v>31.054938079999999</v>
      </c>
      <c r="K60" t="str">
        <f>"-102.27215805"</f>
        <v>-102.27215805</v>
      </c>
      <c r="L60" t="s">
        <v>65</v>
      </c>
      <c r="Q60">
        <v>5330</v>
      </c>
      <c r="R60" t="s">
        <v>44</v>
      </c>
      <c r="AA60" t="s">
        <v>45</v>
      </c>
      <c r="AB60" t="s">
        <v>46</v>
      </c>
      <c r="AC60" t="str">
        <f>"03920"</f>
        <v>03920</v>
      </c>
      <c r="AD60">
        <v>773840</v>
      </c>
      <c r="AE60" t="s">
        <v>79</v>
      </c>
      <c r="AF60" t="s">
        <v>87</v>
      </c>
      <c r="AG60" t="s">
        <v>49</v>
      </c>
      <c r="AH60" t="s">
        <v>96</v>
      </c>
      <c r="AI60" s="7" t="str">
        <f t="shared" si="0"/>
        <v>10502564_7C_   5 T_173</v>
      </c>
      <c r="AJ60" t="s">
        <v>51</v>
      </c>
      <c r="AK60" t="s">
        <v>52</v>
      </c>
    </row>
    <row r="61" spans="1:39" x14ac:dyDescent="0.35">
      <c r="A61" s="3">
        <v>10502564</v>
      </c>
      <c r="B61" s="3" t="str">
        <f t="shared" si="1"/>
        <v>7C-   5 C-173</v>
      </c>
      <c r="C61">
        <v>173</v>
      </c>
      <c r="D61" t="s">
        <v>76</v>
      </c>
      <c r="E61">
        <v>21</v>
      </c>
      <c r="F61">
        <v>50</v>
      </c>
      <c r="G61" t="s">
        <v>42</v>
      </c>
      <c r="H61">
        <v>2966678.6735564298</v>
      </c>
      <c r="I61" t="str">
        <f>"2290144.23786089"</f>
        <v>2290144.23786089</v>
      </c>
      <c r="J61">
        <v>31.054938079999999</v>
      </c>
      <c r="K61" t="str">
        <f>"-102.27215805"</f>
        <v>-102.27215805</v>
      </c>
      <c r="L61" t="s">
        <v>65</v>
      </c>
      <c r="Q61">
        <v>5330</v>
      </c>
      <c r="R61" t="s">
        <v>44</v>
      </c>
      <c r="AA61" t="s">
        <v>45</v>
      </c>
      <c r="AB61" t="s">
        <v>46</v>
      </c>
      <c r="AC61" t="str">
        <f>"03929"</f>
        <v>03929</v>
      </c>
      <c r="AD61">
        <v>773840</v>
      </c>
      <c r="AE61" t="s">
        <v>79</v>
      </c>
      <c r="AF61" t="s">
        <v>87</v>
      </c>
      <c r="AG61" t="s">
        <v>53</v>
      </c>
      <c r="AH61" t="s">
        <v>97</v>
      </c>
      <c r="AI61" s="7" t="str">
        <f t="shared" si="0"/>
        <v>10502564_7C_   5 C_173</v>
      </c>
      <c r="AJ61" t="s">
        <v>51</v>
      </c>
      <c r="AK61" t="s">
        <v>52</v>
      </c>
    </row>
    <row r="62" spans="1:39" x14ac:dyDescent="0.35">
      <c r="A62" s="3">
        <v>10502564</v>
      </c>
      <c r="B62" s="3" t="str">
        <f t="shared" si="1"/>
        <v>08-173-173</v>
      </c>
      <c r="C62">
        <v>173</v>
      </c>
      <c r="D62" t="s">
        <v>76</v>
      </c>
      <c r="E62">
        <v>21</v>
      </c>
      <c r="F62">
        <v>50</v>
      </c>
      <c r="G62" t="s">
        <v>42</v>
      </c>
      <c r="H62">
        <v>2966678.6735564298</v>
      </c>
      <c r="I62" t="str">
        <f>"2290144.23786089"</f>
        <v>2290144.23786089</v>
      </c>
      <c r="J62">
        <v>31.054938079999999</v>
      </c>
      <c r="K62" t="str">
        <f>"-102.27215805"</f>
        <v>-102.27215805</v>
      </c>
      <c r="L62" t="s">
        <v>65</v>
      </c>
      <c r="Q62">
        <v>5330</v>
      </c>
      <c r="R62" t="s">
        <v>44</v>
      </c>
      <c r="AA62" t="s">
        <v>45</v>
      </c>
      <c r="AB62" t="str">
        <f t="shared" ref="AB62:AB69" si="7">"08"</f>
        <v>08</v>
      </c>
      <c r="AC62">
        <v>21736</v>
      </c>
      <c r="AD62">
        <v>617544</v>
      </c>
      <c r="AE62" t="s">
        <v>55</v>
      </c>
      <c r="AF62" t="s">
        <v>66</v>
      </c>
      <c r="AG62" t="s">
        <v>56</v>
      </c>
      <c r="AH62">
        <v>173</v>
      </c>
      <c r="AI62" s="7" t="str">
        <f t="shared" si="0"/>
        <v>10502564_08_173_173</v>
      </c>
      <c r="AJ62" t="s">
        <v>86</v>
      </c>
      <c r="AK62" t="s">
        <v>73</v>
      </c>
    </row>
    <row r="63" spans="1:39" x14ac:dyDescent="0.35">
      <c r="A63" s="3">
        <v>10502564</v>
      </c>
      <c r="B63" s="3" t="str">
        <f t="shared" si="1"/>
        <v>08- 173 U-173</v>
      </c>
      <c r="C63">
        <v>173</v>
      </c>
      <c r="D63" t="s">
        <v>76</v>
      </c>
      <c r="E63">
        <v>21</v>
      </c>
      <c r="F63">
        <v>50</v>
      </c>
      <c r="G63" t="s">
        <v>42</v>
      </c>
      <c r="H63">
        <v>2966678.6735564298</v>
      </c>
      <c r="I63" t="str">
        <f>"2290144.23786089"</f>
        <v>2290144.23786089</v>
      </c>
      <c r="J63">
        <v>31.054938079999999</v>
      </c>
      <c r="K63" t="str">
        <f>"-102.27215805"</f>
        <v>-102.27215805</v>
      </c>
      <c r="L63" t="s">
        <v>65</v>
      </c>
      <c r="Q63">
        <v>5330</v>
      </c>
      <c r="R63" t="s">
        <v>44</v>
      </c>
      <c r="AA63" t="s">
        <v>45</v>
      </c>
      <c r="AB63" t="str">
        <f t="shared" si="7"/>
        <v>08</v>
      </c>
      <c r="AC63">
        <v>21736</v>
      </c>
      <c r="AD63">
        <v>617544</v>
      </c>
      <c r="AE63" t="s">
        <v>55</v>
      </c>
      <c r="AF63" t="s">
        <v>66</v>
      </c>
      <c r="AG63" t="s">
        <v>56</v>
      </c>
      <c r="AH63" t="s">
        <v>98</v>
      </c>
      <c r="AI63" s="7" t="str">
        <f t="shared" si="0"/>
        <v>10502564_08_ 173 U_173</v>
      </c>
      <c r="AJ63" t="s">
        <v>51</v>
      </c>
      <c r="AK63" t="s">
        <v>52</v>
      </c>
    </row>
    <row r="64" spans="1:39" x14ac:dyDescent="0.35">
      <c r="A64" s="3">
        <v>10502568</v>
      </c>
      <c r="B64" s="3" t="str">
        <f t="shared" si="1"/>
        <v>08-6-163G</v>
      </c>
      <c r="C64" t="s">
        <v>99</v>
      </c>
      <c r="D64" t="s">
        <v>41</v>
      </c>
      <c r="E64">
        <v>7</v>
      </c>
      <c r="F64">
        <v>50</v>
      </c>
      <c r="G64" t="s">
        <v>42</v>
      </c>
      <c r="H64">
        <v>31.053794029999999</v>
      </c>
      <c r="I64" t="str">
        <f>"-102.27731833"</f>
        <v>-102.27731833</v>
      </c>
      <c r="J64">
        <v>31.05394424</v>
      </c>
      <c r="K64" t="str">
        <f>"-102.2777335"</f>
        <v>-102.2777335</v>
      </c>
      <c r="L64" t="s">
        <v>43</v>
      </c>
      <c r="Q64">
        <v>0</v>
      </c>
      <c r="R64" t="s">
        <v>44</v>
      </c>
      <c r="AA64" t="s">
        <v>45</v>
      </c>
      <c r="AB64" t="str">
        <f t="shared" si="7"/>
        <v>08</v>
      </c>
      <c r="AC64">
        <v>19526</v>
      </c>
      <c r="AD64">
        <v>773840</v>
      </c>
      <c r="AE64" t="s">
        <v>79</v>
      </c>
      <c r="AF64" t="s">
        <v>87</v>
      </c>
      <c r="AG64" t="s">
        <v>56</v>
      </c>
      <c r="AH64">
        <v>6</v>
      </c>
      <c r="AI64" s="7" t="str">
        <f t="shared" si="0"/>
        <v>10502568_08_6_163G</v>
      </c>
      <c r="AJ64" t="s">
        <v>51</v>
      </c>
      <c r="AK64" t="s">
        <v>52</v>
      </c>
      <c r="AL64" s="1">
        <v>33280</v>
      </c>
      <c r="AM64">
        <v>5290</v>
      </c>
    </row>
    <row r="65" spans="1:39" x14ac:dyDescent="0.35">
      <c r="A65" s="3">
        <v>10502568</v>
      </c>
      <c r="B65" s="3" t="str">
        <f t="shared" si="1"/>
        <v>08- 163G -163G</v>
      </c>
      <c r="C65" t="s">
        <v>99</v>
      </c>
      <c r="D65" t="s">
        <v>41</v>
      </c>
      <c r="E65">
        <v>7</v>
      </c>
      <c r="F65">
        <v>50</v>
      </c>
      <c r="G65" t="s">
        <v>42</v>
      </c>
      <c r="H65">
        <v>31.053794029999999</v>
      </c>
      <c r="I65" t="str">
        <f>"-102.27731833"</f>
        <v>-102.27731833</v>
      </c>
      <c r="J65">
        <v>31.05394424</v>
      </c>
      <c r="K65" t="str">
        <f>"-102.2777335"</f>
        <v>-102.2777335</v>
      </c>
      <c r="L65" t="s">
        <v>43</v>
      </c>
      <c r="Q65">
        <v>0</v>
      </c>
      <c r="R65" t="s">
        <v>44</v>
      </c>
      <c r="AA65" t="s">
        <v>45</v>
      </c>
      <c r="AB65" t="str">
        <f t="shared" si="7"/>
        <v>08</v>
      </c>
      <c r="AC65">
        <v>21736</v>
      </c>
      <c r="AD65">
        <v>617544</v>
      </c>
      <c r="AE65" t="s">
        <v>55</v>
      </c>
      <c r="AF65" t="s">
        <v>66</v>
      </c>
      <c r="AG65" t="s">
        <v>56</v>
      </c>
      <c r="AH65" t="s">
        <v>100</v>
      </c>
      <c r="AI65" s="7" t="str">
        <f t="shared" si="0"/>
        <v>10502568_08_ 163G _163G</v>
      </c>
      <c r="AJ65" t="s">
        <v>51</v>
      </c>
      <c r="AK65" t="s">
        <v>52</v>
      </c>
      <c r="AL65" s="1">
        <v>33280</v>
      </c>
      <c r="AM65">
        <v>5290</v>
      </c>
    </row>
    <row r="66" spans="1:39" x14ac:dyDescent="0.35">
      <c r="A66" s="3">
        <v>10502570</v>
      </c>
      <c r="B66" s="3" t="str">
        <f t="shared" si="1"/>
        <v>08-174-174G</v>
      </c>
      <c r="C66" t="s">
        <v>101</v>
      </c>
      <c r="D66" t="s">
        <v>76</v>
      </c>
      <c r="E66">
        <v>21</v>
      </c>
      <c r="F66">
        <v>50</v>
      </c>
      <c r="G66" t="s">
        <v>42</v>
      </c>
      <c r="H66">
        <v>31.057468369999999</v>
      </c>
      <c r="I66" t="str">
        <f>"-102.26887514"</f>
        <v>-102.26887514</v>
      </c>
      <c r="J66">
        <v>31.05764186</v>
      </c>
      <c r="K66" t="str">
        <f>"-102.26931104"</f>
        <v>-102.26931104</v>
      </c>
      <c r="L66" t="s">
        <v>65</v>
      </c>
      <c r="Q66">
        <v>5400</v>
      </c>
      <c r="R66" t="s">
        <v>44</v>
      </c>
      <c r="AA66" t="s">
        <v>45</v>
      </c>
      <c r="AB66" t="str">
        <f t="shared" si="7"/>
        <v>08</v>
      </c>
      <c r="AC66">
        <v>21736</v>
      </c>
      <c r="AD66">
        <v>617544</v>
      </c>
      <c r="AE66" t="s">
        <v>55</v>
      </c>
      <c r="AF66" t="s">
        <v>66</v>
      </c>
      <c r="AG66" t="s">
        <v>56</v>
      </c>
      <c r="AH66">
        <v>174</v>
      </c>
      <c r="AI66" s="7" t="str">
        <f t="shared" ref="AI66:AI129" si="8">A66&amp;"_"&amp;AB66&amp;"_"&amp;AH66&amp;"_"&amp;C66</f>
        <v>10502570_08_174_174G</v>
      </c>
      <c r="AJ66" t="s">
        <v>51</v>
      </c>
      <c r="AK66" t="s">
        <v>52</v>
      </c>
    </row>
    <row r="67" spans="1:39" x14ac:dyDescent="0.35">
      <c r="A67" s="3">
        <v>10502570</v>
      </c>
      <c r="B67" s="3" t="str">
        <f t="shared" ref="B67:B130" si="9">AB67&amp;"-"&amp;AH67&amp;"-"&amp;C67</f>
        <v>08- 174G -174G</v>
      </c>
      <c r="C67" t="s">
        <v>101</v>
      </c>
      <c r="D67" t="s">
        <v>76</v>
      </c>
      <c r="E67">
        <v>21</v>
      </c>
      <c r="F67">
        <v>50</v>
      </c>
      <c r="G67" t="s">
        <v>42</v>
      </c>
      <c r="H67">
        <v>31.057468369999999</v>
      </c>
      <c r="I67" t="str">
        <f>"-102.26887514"</f>
        <v>-102.26887514</v>
      </c>
      <c r="J67">
        <v>31.05764186</v>
      </c>
      <c r="K67" t="str">
        <f>"-102.26931104"</f>
        <v>-102.26931104</v>
      </c>
      <c r="L67" t="s">
        <v>65</v>
      </c>
      <c r="Q67">
        <v>5400</v>
      </c>
      <c r="R67" t="s">
        <v>44</v>
      </c>
      <c r="AA67" t="s">
        <v>45</v>
      </c>
      <c r="AB67" t="str">
        <f t="shared" si="7"/>
        <v>08</v>
      </c>
      <c r="AC67">
        <v>21736</v>
      </c>
      <c r="AD67">
        <v>617544</v>
      </c>
      <c r="AE67" t="s">
        <v>55</v>
      </c>
      <c r="AF67" t="s">
        <v>66</v>
      </c>
      <c r="AG67" t="s">
        <v>56</v>
      </c>
      <c r="AH67" t="s">
        <v>102</v>
      </c>
      <c r="AI67" s="7" t="str">
        <f t="shared" si="8"/>
        <v>10502570_08_ 174G _174G</v>
      </c>
      <c r="AJ67" t="s">
        <v>86</v>
      </c>
      <c r="AK67" t="s">
        <v>73</v>
      </c>
    </row>
    <row r="68" spans="1:39" x14ac:dyDescent="0.35">
      <c r="A68" s="3">
        <v>10502572</v>
      </c>
      <c r="B68" s="3" t="str">
        <f t="shared" si="9"/>
        <v>08-157-157</v>
      </c>
      <c r="C68">
        <v>157</v>
      </c>
      <c r="D68" t="s">
        <v>63</v>
      </c>
      <c r="E68">
        <v>4</v>
      </c>
      <c r="F68">
        <v>50</v>
      </c>
      <c r="G68" t="s">
        <v>42</v>
      </c>
      <c r="H68">
        <v>31.064576850000002</v>
      </c>
      <c r="I68" t="str">
        <f>"-102.27276666"</f>
        <v>-102.27276666</v>
      </c>
      <c r="J68">
        <v>31.064750109999999</v>
      </c>
      <c r="K68" t="str">
        <f>"-102.2732027"</f>
        <v>-102.2732027</v>
      </c>
      <c r="L68" t="s">
        <v>65</v>
      </c>
      <c r="Q68">
        <v>5581</v>
      </c>
      <c r="R68" t="s">
        <v>44</v>
      </c>
      <c r="AA68" t="s">
        <v>45</v>
      </c>
      <c r="AB68" t="str">
        <f t="shared" si="7"/>
        <v>08</v>
      </c>
      <c r="AC68">
        <v>21736</v>
      </c>
      <c r="AD68">
        <v>617544</v>
      </c>
      <c r="AE68" t="s">
        <v>55</v>
      </c>
      <c r="AF68" t="s">
        <v>66</v>
      </c>
      <c r="AG68" t="s">
        <v>56</v>
      </c>
      <c r="AH68">
        <v>157</v>
      </c>
      <c r="AI68" s="7" t="str">
        <f t="shared" si="8"/>
        <v>10502572_08_157_157</v>
      </c>
      <c r="AJ68" t="s">
        <v>72</v>
      </c>
      <c r="AK68" t="s">
        <v>73</v>
      </c>
    </row>
    <row r="69" spans="1:39" x14ac:dyDescent="0.35">
      <c r="A69" s="3">
        <v>10502575</v>
      </c>
      <c r="B69" s="3" t="str">
        <f t="shared" si="9"/>
        <v>08-166-166</v>
      </c>
      <c r="C69">
        <v>166</v>
      </c>
      <c r="D69" t="s">
        <v>41</v>
      </c>
      <c r="E69">
        <v>7</v>
      </c>
      <c r="F69">
        <v>50</v>
      </c>
      <c r="G69" t="s">
        <v>42</v>
      </c>
      <c r="H69">
        <v>31.062092239999998</v>
      </c>
      <c r="I69" t="str">
        <f>"-102.26970036"</f>
        <v>-102.26970036</v>
      </c>
      <c r="J69">
        <v>31.062242229999999</v>
      </c>
      <c r="K69" t="str">
        <f>"-102.27011551"</f>
        <v>-102.27011551</v>
      </c>
      <c r="L69" t="s">
        <v>43</v>
      </c>
      <c r="Q69">
        <v>5296</v>
      </c>
      <c r="R69" t="s">
        <v>44</v>
      </c>
      <c r="AA69" t="s">
        <v>45</v>
      </c>
      <c r="AB69" t="str">
        <f t="shared" si="7"/>
        <v>08</v>
      </c>
      <c r="AC69">
        <v>21736</v>
      </c>
      <c r="AD69">
        <v>617544</v>
      </c>
      <c r="AE69" t="s">
        <v>55</v>
      </c>
      <c r="AF69" t="s">
        <v>66</v>
      </c>
      <c r="AG69" t="s">
        <v>56</v>
      </c>
      <c r="AH69">
        <v>166</v>
      </c>
      <c r="AI69" s="7" t="str">
        <f t="shared" si="8"/>
        <v>10502575_08_166_166</v>
      </c>
      <c r="AJ69" t="s">
        <v>51</v>
      </c>
      <c r="AK69" t="s">
        <v>52</v>
      </c>
      <c r="AL69" s="1">
        <v>31492</v>
      </c>
      <c r="AM69">
        <v>5326</v>
      </c>
    </row>
    <row r="70" spans="1:39" x14ac:dyDescent="0.35">
      <c r="A70" s="3">
        <v>10502578</v>
      </c>
      <c r="B70" s="3" t="str">
        <f t="shared" si="9"/>
        <v>7C-1-199</v>
      </c>
      <c r="C70">
        <v>199</v>
      </c>
      <c r="D70" t="s">
        <v>63</v>
      </c>
      <c r="E70">
        <v>4</v>
      </c>
      <c r="F70">
        <v>50</v>
      </c>
      <c r="G70" t="s">
        <v>42</v>
      </c>
      <c r="H70">
        <v>31.043652160000001</v>
      </c>
      <c r="I70" t="str">
        <f>"-102.2602679"</f>
        <v>-102.2602679</v>
      </c>
      <c r="J70">
        <v>31.04380286</v>
      </c>
      <c r="K70" t="str">
        <f>"-102.26068246"</f>
        <v>-102.26068246</v>
      </c>
      <c r="L70" t="s">
        <v>65</v>
      </c>
      <c r="Q70">
        <v>5593</v>
      </c>
      <c r="R70" t="s">
        <v>44</v>
      </c>
      <c r="AA70" t="s">
        <v>45</v>
      </c>
      <c r="AB70" t="s">
        <v>46</v>
      </c>
      <c r="AC70" t="str">
        <f>"03739"</f>
        <v>03739</v>
      </c>
      <c r="AD70">
        <v>773840</v>
      </c>
      <c r="AE70" t="s">
        <v>79</v>
      </c>
      <c r="AF70" t="s">
        <v>103</v>
      </c>
      <c r="AG70" t="s">
        <v>53</v>
      </c>
      <c r="AH70">
        <v>1</v>
      </c>
      <c r="AI70" s="7" t="str">
        <f t="shared" si="8"/>
        <v>10502578_7C_1_199</v>
      </c>
      <c r="AJ70" t="s">
        <v>51</v>
      </c>
      <c r="AK70" t="s">
        <v>52</v>
      </c>
    </row>
    <row r="71" spans="1:39" x14ac:dyDescent="0.35">
      <c r="A71" s="3">
        <v>10502578</v>
      </c>
      <c r="B71" s="3" t="str">
        <f t="shared" si="9"/>
        <v>08-199-199</v>
      </c>
      <c r="C71">
        <v>199</v>
      </c>
      <c r="D71" t="s">
        <v>63</v>
      </c>
      <c r="E71">
        <v>4</v>
      </c>
      <c r="F71">
        <v>50</v>
      </c>
      <c r="G71" t="s">
        <v>42</v>
      </c>
      <c r="H71">
        <v>31.043652160000001</v>
      </c>
      <c r="I71" t="str">
        <f>"-102.2602679"</f>
        <v>-102.2602679</v>
      </c>
      <c r="J71">
        <v>31.04380286</v>
      </c>
      <c r="K71" t="str">
        <f>"-102.26068246"</f>
        <v>-102.26068246</v>
      </c>
      <c r="L71" t="s">
        <v>65</v>
      </c>
      <c r="Q71">
        <v>5593</v>
      </c>
      <c r="R71" t="s">
        <v>44</v>
      </c>
      <c r="AA71" t="s">
        <v>45</v>
      </c>
      <c r="AB71" t="str">
        <f>"08"</f>
        <v>08</v>
      </c>
      <c r="AC71">
        <v>21736</v>
      </c>
      <c r="AD71">
        <v>617544</v>
      </c>
      <c r="AE71" t="s">
        <v>55</v>
      </c>
      <c r="AF71" t="s">
        <v>66</v>
      </c>
      <c r="AG71" t="s">
        <v>56</v>
      </c>
      <c r="AH71">
        <v>199</v>
      </c>
      <c r="AI71" s="7" t="str">
        <f t="shared" si="8"/>
        <v>10502578_08_199_199</v>
      </c>
      <c r="AJ71" t="s">
        <v>72</v>
      </c>
      <c r="AK71" t="s">
        <v>73</v>
      </c>
    </row>
    <row r="72" spans="1:39" x14ac:dyDescent="0.35">
      <c r="A72" s="3">
        <v>10502580</v>
      </c>
      <c r="B72" s="3" t="str">
        <f t="shared" si="9"/>
        <v>7C-   2 T-196</v>
      </c>
      <c r="C72">
        <v>196</v>
      </c>
      <c r="D72" t="s">
        <v>76</v>
      </c>
      <c r="E72">
        <v>21</v>
      </c>
      <c r="F72">
        <v>50</v>
      </c>
      <c r="G72" t="s">
        <v>42</v>
      </c>
      <c r="H72">
        <v>31.046687819999999</v>
      </c>
      <c r="I72" t="str">
        <f>"-102.26342569"</f>
        <v>-102.26342569</v>
      </c>
      <c r="J72">
        <v>31.046861629999999</v>
      </c>
      <c r="K72" t="str">
        <f>"-102.26386139"</f>
        <v>-102.26386139</v>
      </c>
      <c r="L72" t="s">
        <v>65</v>
      </c>
      <c r="Q72">
        <v>5463</v>
      </c>
      <c r="R72" t="s">
        <v>44</v>
      </c>
      <c r="AA72" t="s">
        <v>45</v>
      </c>
      <c r="AB72" t="s">
        <v>46</v>
      </c>
      <c r="AC72" t="str">
        <f>"03659"</f>
        <v>03659</v>
      </c>
      <c r="AD72">
        <v>773840</v>
      </c>
      <c r="AE72" t="s">
        <v>79</v>
      </c>
      <c r="AF72" t="s">
        <v>103</v>
      </c>
      <c r="AG72" t="s">
        <v>49</v>
      </c>
      <c r="AH72" t="s">
        <v>59</v>
      </c>
      <c r="AI72" s="7" t="str">
        <f t="shared" si="8"/>
        <v>10502580_7C_   2 T_196</v>
      </c>
      <c r="AJ72" t="s">
        <v>51</v>
      </c>
      <c r="AK72" t="s">
        <v>52</v>
      </c>
    </row>
    <row r="73" spans="1:39" x14ac:dyDescent="0.35">
      <c r="A73" s="3">
        <v>10502580</v>
      </c>
      <c r="B73" s="3" t="str">
        <f t="shared" si="9"/>
        <v>7C-   2 C-196</v>
      </c>
      <c r="C73">
        <v>196</v>
      </c>
      <c r="D73" t="s">
        <v>76</v>
      </c>
      <c r="E73">
        <v>21</v>
      </c>
      <c r="F73">
        <v>50</v>
      </c>
      <c r="G73" t="s">
        <v>42</v>
      </c>
      <c r="H73">
        <v>31.046687819999999</v>
      </c>
      <c r="I73" t="str">
        <f>"-102.26342569"</f>
        <v>-102.26342569</v>
      </c>
      <c r="J73">
        <v>31.046861629999999</v>
      </c>
      <c r="K73" t="str">
        <f>"-102.26386139"</f>
        <v>-102.26386139</v>
      </c>
      <c r="L73" t="s">
        <v>65</v>
      </c>
      <c r="Q73">
        <v>5463</v>
      </c>
      <c r="R73" t="s">
        <v>44</v>
      </c>
      <c r="AA73" t="s">
        <v>45</v>
      </c>
      <c r="AB73" t="s">
        <v>46</v>
      </c>
      <c r="AC73" t="str">
        <f>"03739"</f>
        <v>03739</v>
      </c>
      <c r="AD73">
        <v>773840</v>
      </c>
      <c r="AE73" t="s">
        <v>79</v>
      </c>
      <c r="AF73" t="s">
        <v>103</v>
      </c>
      <c r="AG73" t="s">
        <v>53</v>
      </c>
      <c r="AH73" t="s">
        <v>88</v>
      </c>
      <c r="AI73" s="7" t="str">
        <f t="shared" si="8"/>
        <v>10502580_7C_   2 C_196</v>
      </c>
      <c r="AJ73" t="s">
        <v>51</v>
      </c>
      <c r="AK73" t="s">
        <v>52</v>
      </c>
    </row>
    <row r="74" spans="1:39" x14ac:dyDescent="0.35">
      <c r="A74" s="3">
        <v>10502580</v>
      </c>
      <c r="B74" s="3" t="str">
        <f t="shared" si="9"/>
        <v>08-196-196</v>
      </c>
      <c r="C74">
        <v>196</v>
      </c>
      <c r="D74" t="s">
        <v>76</v>
      </c>
      <c r="E74">
        <v>21</v>
      </c>
      <c r="F74">
        <v>50</v>
      </c>
      <c r="G74" t="s">
        <v>42</v>
      </c>
      <c r="H74">
        <v>31.046687819999999</v>
      </c>
      <c r="I74" t="str">
        <f>"-102.26342569"</f>
        <v>-102.26342569</v>
      </c>
      <c r="J74">
        <v>31.046861629999999</v>
      </c>
      <c r="K74" t="str">
        <f>"-102.26386139"</f>
        <v>-102.26386139</v>
      </c>
      <c r="L74" t="s">
        <v>65</v>
      </c>
      <c r="Q74">
        <v>5463</v>
      </c>
      <c r="R74" t="s">
        <v>44</v>
      </c>
      <c r="AA74" t="s">
        <v>45</v>
      </c>
      <c r="AB74" t="str">
        <f>"08"</f>
        <v>08</v>
      </c>
      <c r="AC74">
        <v>21736</v>
      </c>
      <c r="AD74">
        <v>617544</v>
      </c>
      <c r="AE74" t="s">
        <v>55</v>
      </c>
      <c r="AF74" t="s">
        <v>66</v>
      </c>
      <c r="AG74" t="s">
        <v>56</v>
      </c>
      <c r="AH74">
        <v>196</v>
      </c>
      <c r="AI74" s="7" t="str">
        <f t="shared" si="8"/>
        <v>10502580_08_196_196</v>
      </c>
      <c r="AJ74" t="s">
        <v>86</v>
      </c>
      <c r="AK74" t="s">
        <v>73</v>
      </c>
    </row>
    <row r="75" spans="1:39" x14ac:dyDescent="0.35">
      <c r="A75" s="3">
        <v>10502582</v>
      </c>
      <c r="B75" s="3" t="str">
        <f t="shared" si="9"/>
        <v>7C-3-195</v>
      </c>
      <c r="C75">
        <v>195</v>
      </c>
      <c r="D75" t="s">
        <v>63</v>
      </c>
      <c r="E75">
        <v>4</v>
      </c>
      <c r="F75">
        <v>50</v>
      </c>
      <c r="G75" t="s">
        <v>42</v>
      </c>
      <c r="H75">
        <v>31.04354507</v>
      </c>
      <c r="I75" t="str">
        <f>"-102.2664439"</f>
        <v>-102.2664439</v>
      </c>
      <c r="J75">
        <v>31.04369573</v>
      </c>
      <c r="K75" t="str">
        <f>"-102.26685864"</f>
        <v>-102.26685864</v>
      </c>
      <c r="L75" t="s">
        <v>65</v>
      </c>
      <c r="Q75">
        <v>5509</v>
      </c>
      <c r="R75" t="s">
        <v>44</v>
      </c>
      <c r="AA75" t="s">
        <v>45</v>
      </c>
      <c r="AB75" t="s">
        <v>46</v>
      </c>
      <c r="AC75" t="str">
        <f>"03659"</f>
        <v>03659</v>
      </c>
      <c r="AD75">
        <v>773840</v>
      </c>
      <c r="AE75" t="s">
        <v>79</v>
      </c>
      <c r="AF75" t="s">
        <v>103</v>
      </c>
      <c r="AG75" t="s">
        <v>49</v>
      </c>
      <c r="AH75">
        <v>3</v>
      </c>
      <c r="AI75" s="7" t="str">
        <f t="shared" si="8"/>
        <v>10502582_7C_3_195</v>
      </c>
      <c r="AJ75" t="s">
        <v>51</v>
      </c>
      <c r="AK75" t="s">
        <v>52</v>
      </c>
    </row>
    <row r="76" spans="1:39" x14ac:dyDescent="0.35">
      <c r="A76" s="3">
        <v>10502582</v>
      </c>
      <c r="B76" s="3" t="str">
        <f t="shared" si="9"/>
        <v>08-195-195</v>
      </c>
      <c r="C76">
        <v>195</v>
      </c>
      <c r="D76" t="s">
        <v>63</v>
      </c>
      <c r="E76">
        <v>4</v>
      </c>
      <c r="F76">
        <v>50</v>
      </c>
      <c r="G76" t="s">
        <v>42</v>
      </c>
      <c r="H76">
        <v>31.04354507</v>
      </c>
      <c r="I76" t="str">
        <f>"-102.2664439"</f>
        <v>-102.2664439</v>
      </c>
      <c r="J76">
        <v>31.04369573</v>
      </c>
      <c r="K76" t="str">
        <f>"-102.26685864"</f>
        <v>-102.26685864</v>
      </c>
      <c r="L76" t="s">
        <v>65</v>
      </c>
      <c r="Q76">
        <v>5509</v>
      </c>
      <c r="R76" t="s">
        <v>44</v>
      </c>
      <c r="AA76" t="s">
        <v>45</v>
      </c>
      <c r="AB76" t="str">
        <f>"08"</f>
        <v>08</v>
      </c>
      <c r="AC76">
        <v>21736</v>
      </c>
      <c r="AD76">
        <v>617544</v>
      </c>
      <c r="AE76" t="s">
        <v>55</v>
      </c>
      <c r="AF76" t="s">
        <v>66</v>
      </c>
      <c r="AG76" t="s">
        <v>56</v>
      </c>
      <c r="AH76">
        <v>195</v>
      </c>
      <c r="AI76" s="7" t="str">
        <f t="shared" si="8"/>
        <v>10502582_08_195_195</v>
      </c>
      <c r="AJ76" t="s">
        <v>72</v>
      </c>
      <c r="AK76" t="s">
        <v>73</v>
      </c>
    </row>
    <row r="77" spans="1:39" x14ac:dyDescent="0.35">
      <c r="A77" s="3">
        <v>10502583</v>
      </c>
      <c r="B77" s="3" t="str">
        <f t="shared" si="9"/>
        <v>7C-   4 T-194</v>
      </c>
      <c r="C77">
        <v>194</v>
      </c>
      <c r="D77" t="s">
        <v>41</v>
      </c>
      <c r="E77">
        <v>7</v>
      </c>
      <c r="F77">
        <v>50</v>
      </c>
      <c r="G77" t="s">
        <v>42</v>
      </c>
      <c r="H77">
        <v>31.039800459999999</v>
      </c>
      <c r="I77" t="str">
        <f>"-102.27016984"</f>
        <v>-102.27016984</v>
      </c>
      <c r="J77">
        <v>31.039951219999999</v>
      </c>
      <c r="K77" t="str">
        <f>"-102.27058459"</f>
        <v>-102.27058459</v>
      </c>
      <c r="L77" t="s">
        <v>43</v>
      </c>
      <c r="Q77">
        <v>0</v>
      </c>
      <c r="R77" t="s">
        <v>44</v>
      </c>
      <c r="AA77" t="s">
        <v>45</v>
      </c>
      <c r="AB77" t="s">
        <v>46</v>
      </c>
      <c r="AC77" t="str">
        <f>"03659"</f>
        <v>03659</v>
      </c>
      <c r="AD77">
        <v>773840</v>
      </c>
      <c r="AE77" t="s">
        <v>79</v>
      </c>
      <c r="AF77" t="s">
        <v>103</v>
      </c>
      <c r="AG77" t="s">
        <v>49</v>
      </c>
      <c r="AH77" t="s">
        <v>93</v>
      </c>
      <c r="AI77" s="7" t="str">
        <f t="shared" si="8"/>
        <v>10502583_7C_   4 T_194</v>
      </c>
      <c r="AJ77" t="s">
        <v>51</v>
      </c>
      <c r="AK77" t="s">
        <v>52</v>
      </c>
      <c r="AL77" s="1">
        <v>30975</v>
      </c>
      <c r="AM77">
        <v>5420</v>
      </c>
    </row>
    <row r="78" spans="1:39" x14ac:dyDescent="0.35">
      <c r="A78" s="3">
        <v>10502583</v>
      </c>
      <c r="B78" s="3" t="str">
        <f t="shared" si="9"/>
        <v>7C-   4 C-194</v>
      </c>
      <c r="C78">
        <v>194</v>
      </c>
      <c r="D78" t="s">
        <v>41</v>
      </c>
      <c r="E78">
        <v>7</v>
      </c>
      <c r="F78">
        <v>50</v>
      </c>
      <c r="G78" t="s">
        <v>42</v>
      </c>
      <c r="H78">
        <v>31.039800459999999</v>
      </c>
      <c r="I78" t="str">
        <f>"-102.27016984"</f>
        <v>-102.27016984</v>
      </c>
      <c r="J78">
        <v>31.039951219999999</v>
      </c>
      <c r="K78" t="str">
        <f>"-102.27058459"</f>
        <v>-102.27058459</v>
      </c>
      <c r="L78" t="s">
        <v>43</v>
      </c>
      <c r="Q78">
        <v>0</v>
      </c>
      <c r="R78" t="s">
        <v>44</v>
      </c>
      <c r="AA78" t="s">
        <v>45</v>
      </c>
      <c r="AB78" t="s">
        <v>46</v>
      </c>
      <c r="AC78" t="str">
        <f>"03739"</f>
        <v>03739</v>
      </c>
      <c r="AD78">
        <v>773840</v>
      </c>
      <c r="AE78" t="s">
        <v>79</v>
      </c>
      <c r="AF78" t="s">
        <v>103</v>
      </c>
      <c r="AG78" t="s">
        <v>53</v>
      </c>
      <c r="AH78" t="s">
        <v>94</v>
      </c>
      <c r="AI78" s="7" t="str">
        <f t="shared" si="8"/>
        <v>10502583_7C_   4 C_194</v>
      </c>
      <c r="AJ78" t="s">
        <v>51</v>
      </c>
      <c r="AK78" t="s">
        <v>52</v>
      </c>
      <c r="AL78" s="1">
        <v>30975</v>
      </c>
      <c r="AM78">
        <v>5420</v>
      </c>
    </row>
    <row r="79" spans="1:39" x14ac:dyDescent="0.35">
      <c r="A79" s="3">
        <v>10502583</v>
      </c>
      <c r="B79" s="3" t="str">
        <f t="shared" si="9"/>
        <v>08-194-194</v>
      </c>
      <c r="C79">
        <v>194</v>
      </c>
      <c r="D79" t="s">
        <v>41</v>
      </c>
      <c r="E79">
        <v>7</v>
      </c>
      <c r="F79">
        <v>50</v>
      </c>
      <c r="G79" t="s">
        <v>42</v>
      </c>
      <c r="H79">
        <v>31.039800459999999</v>
      </c>
      <c r="I79" t="str">
        <f>"-102.27016984"</f>
        <v>-102.27016984</v>
      </c>
      <c r="J79">
        <v>31.039951219999999</v>
      </c>
      <c r="K79" t="str">
        <f>"-102.27058459"</f>
        <v>-102.27058459</v>
      </c>
      <c r="L79" t="s">
        <v>43</v>
      </c>
      <c r="Q79">
        <v>0</v>
      </c>
      <c r="R79" t="s">
        <v>44</v>
      </c>
      <c r="AA79" t="s">
        <v>45</v>
      </c>
      <c r="AB79" t="str">
        <f>"08"</f>
        <v>08</v>
      </c>
      <c r="AC79">
        <v>21736</v>
      </c>
      <c r="AD79">
        <v>617544</v>
      </c>
      <c r="AE79" t="s">
        <v>55</v>
      </c>
      <c r="AF79" t="s">
        <v>66</v>
      </c>
      <c r="AG79" t="s">
        <v>56</v>
      </c>
      <c r="AH79">
        <v>194</v>
      </c>
      <c r="AI79" s="7" t="str">
        <f t="shared" si="8"/>
        <v>10502583_08_194_194</v>
      </c>
      <c r="AJ79" t="s">
        <v>51</v>
      </c>
      <c r="AK79" t="s">
        <v>52</v>
      </c>
      <c r="AL79" s="1">
        <v>30975</v>
      </c>
      <c r="AM79">
        <v>5420</v>
      </c>
    </row>
    <row r="80" spans="1:39" x14ac:dyDescent="0.35">
      <c r="A80" s="3">
        <v>10502583</v>
      </c>
      <c r="B80" s="3" t="str">
        <f t="shared" si="9"/>
        <v>08- 194 U-194</v>
      </c>
      <c r="C80">
        <v>194</v>
      </c>
      <c r="D80" t="s">
        <v>41</v>
      </c>
      <c r="E80">
        <v>7</v>
      </c>
      <c r="F80">
        <v>50</v>
      </c>
      <c r="G80" t="s">
        <v>42</v>
      </c>
      <c r="H80">
        <v>31.039800459999999</v>
      </c>
      <c r="I80" t="str">
        <f>"-102.27016984"</f>
        <v>-102.27016984</v>
      </c>
      <c r="J80">
        <v>31.039951219999999</v>
      </c>
      <c r="K80" t="str">
        <f>"-102.27058459"</f>
        <v>-102.27058459</v>
      </c>
      <c r="L80" t="s">
        <v>43</v>
      </c>
      <c r="Q80">
        <v>0</v>
      </c>
      <c r="R80" t="s">
        <v>44</v>
      </c>
      <c r="AA80" t="s">
        <v>45</v>
      </c>
      <c r="AB80" t="str">
        <f>"08"</f>
        <v>08</v>
      </c>
      <c r="AC80">
        <v>21736</v>
      </c>
      <c r="AD80">
        <v>617544</v>
      </c>
      <c r="AE80" t="s">
        <v>55</v>
      </c>
      <c r="AF80" t="s">
        <v>66</v>
      </c>
      <c r="AG80" t="s">
        <v>56</v>
      </c>
      <c r="AH80" t="s">
        <v>104</v>
      </c>
      <c r="AI80" s="7" t="str">
        <f t="shared" si="8"/>
        <v>10502583_08_ 194 U_194</v>
      </c>
      <c r="AJ80" t="s">
        <v>51</v>
      </c>
      <c r="AK80" t="s">
        <v>52</v>
      </c>
      <c r="AL80" s="1">
        <v>30975</v>
      </c>
      <c r="AM80">
        <v>5420</v>
      </c>
    </row>
    <row r="81" spans="1:37" x14ac:dyDescent="0.35">
      <c r="A81" s="3">
        <v>10502584</v>
      </c>
      <c r="B81" s="3" t="str">
        <f t="shared" si="9"/>
        <v>7C-5-198</v>
      </c>
      <c r="C81">
        <v>198</v>
      </c>
      <c r="D81" t="s">
        <v>63</v>
      </c>
      <c r="E81">
        <v>4</v>
      </c>
      <c r="F81">
        <v>50</v>
      </c>
      <c r="G81" t="s">
        <v>42</v>
      </c>
      <c r="H81">
        <v>2961690.7096456699</v>
      </c>
      <c r="I81" t="str">
        <f>"2292859.46194226"</f>
        <v>2292859.46194226</v>
      </c>
      <c r="J81">
        <v>31.041370390000001</v>
      </c>
      <c r="K81" t="str">
        <f>"-102.2631564"</f>
        <v>-102.2631564</v>
      </c>
      <c r="L81" t="s">
        <v>65</v>
      </c>
      <c r="Q81">
        <v>5373</v>
      </c>
      <c r="R81" t="s">
        <v>44</v>
      </c>
      <c r="AA81" t="s">
        <v>45</v>
      </c>
      <c r="AB81" t="s">
        <v>46</v>
      </c>
      <c r="AC81" t="str">
        <f>"03739"</f>
        <v>03739</v>
      </c>
      <c r="AD81">
        <v>773840</v>
      </c>
      <c r="AE81" t="s">
        <v>79</v>
      </c>
      <c r="AF81" t="s">
        <v>103</v>
      </c>
      <c r="AG81" t="s">
        <v>53</v>
      </c>
      <c r="AH81">
        <v>5</v>
      </c>
      <c r="AI81" s="7" t="str">
        <f t="shared" si="8"/>
        <v>10502584_7C_5_198</v>
      </c>
      <c r="AJ81" t="s">
        <v>51</v>
      </c>
      <c r="AK81" t="s">
        <v>52</v>
      </c>
    </row>
    <row r="82" spans="1:37" x14ac:dyDescent="0.35">
      <c r="A82" s="3">
        <v>10502584</v>
      </c>
      <c r="B82" s="3" t="str">
        <f t="shared" si="9"/>
        <v>08-198-198</v>
      </c>
      <c r="C82">
        <v>198</v>
      </c>
      <c r="D82" t="s">
        <v>63</v>
      </c>
      <c r="E82">
        <v>4</v>
      </c>
      <c r="F82">
        <v>50</v>
      </c>
      <c r="G82" t="s">
        <v>42</v>
      </c>
      <c r="H82">
        <v>2961690.7096456699</v>
      </c>
      <c r="I82" t="str">
        <f>"2292859.46194226"</f>
        <v>2292859.46194226</v>
      </c>
      <c r="J82">
        <v>31.041370390000001</v>
      </c>
      <c r="K82" t="str">
        <f>"-102.2631564"</f>
        <v>-102.2631564</v>
      </c>
      <c r="L82" t="s">
        <v>65</v>
      </c>
      <c r="Q82">
        <v>5373</v>
      </c>
      <c r="R82" t="s">
        <v>44</v>
      </c>
      <c r="AA82" t="s">
        <v>45</v>
      </c>
      <c r="AB82" t="str">
        <f>"08"</f>
        <v>08</v>
      </c>
      <c r="AC82">
        <v>21736</v>
      </c>
      <c r="AD82">
        <v>617544</v>
      </c>
      <c r="AE82" t="s">
        <v>55</v>
      </c>
      <c r="AF82" t="s">
        <v>66</v>
      </c>
      <c r="AG82" t="s">
        <v>56</v>
      </c>
      <c r="AH82">
        <v>198</v>
      </c>
      <c r="AI82" s="7" t="str">
        <f t="shared" si="8"/>
        <v>10502584_08_198_198</v>
      </c>
      <c r="AJ82" t="s">
        <v>72</v>
      </c>
      <c r="AK82" t="s">
        <v>73</v>
      </c>
    </row>
    <row r="83" spans="1:37" x14ac:dyDescent="0.35">
      <c r="A83" s="3">
        <v>10502585</v>
      </c>
      <c r="B83" s="3" t="str">
        <f t="shared" si="9"/>
        <v>7C-   6 T-193</v>
      </c>
      <c r="C83">
        <v>193</v>
      </c>
      <c r="D83" t="s">
        <v>63</v>
      </c>
      <c r="E83">
        <v>4</v>
      </c>
      <c r="F83">
        <v>50</v>
      </c>
      <c r="G83" t="s">
        <v>42</v>
      </c>
      <c r="H83">
        <v>2960319.1715879301</v>
      </c>
      <c r="I83" t="str">
        <f>"2289725.59055118"</f>
        <v>2289725.59055118</v>
      </c>
      <c r="J83">
        <v>31.037415540000001</v>
      </c>
      <c r="K83" t="str">
        <f>"-102.27309152"</f>
        <v>-102.27309152</v>
      </c>
      <c r="L83" t="s">
        <v>65</v>
      </c>
      <c r="Q83">
        <v>5455</v>
      </c>
      <c r="R83" t="s">
        <v>44</v>
      </c>
      <c r="AA83" t="s">
        <v>45</v>
      </c>
      <c r="AB83" t="s">
        <v>46</v>
      </c>
      <c r="AC83" t="str">
        <f>"03659"</f>
        <v>03659</v>
      </c>
      <c r="AD83">
        <v>773840</v>
      </c>
      <c r="AE83" t="s">
        <v>79</v>
      </c>
      <c r="AF83" t="s">
        <v>103</v>
      </c>
      <c r="AG83" t="s">
        <v>49</v>
      </c>
      <c r="AH83" t="s">
        <v>75</v>
      </c>
      <c r="AI83" s="7" t="str">
        <f t="shared" si="8"/>
        <v>10502585_7C_   6 T_193</v>
      </c>
      <c r="AJ83" t="s">
        <v>51</v>
      </c>
      <c r="AK83" t="s">
        <v>52</v>
      </c>
    </row>
    <row r="84" spans="1:37" x14ac:dyDescent="0.35">
      <c r="A84" s="3">
        <v>10502585</v>
      </c>
      <c r="B84" s="3" t="str">
        <f t="shared" si="9"/>
        <v>7C-   6 C-193</v>
      </c>
      <c r="C84">
        <v>193</v>
      </c>
      <c r="D84" t="s">
        <v>63</v>
      </c>
      <c r="E84">
        <v>4</v>
      </c>
      <c r="F84">
        <v>50</v>
      </c>
      <c r="G84" t="s">
        <v>42</v>
      </c>
      <c r="H84">
        <v>2960319.1715879301</v>
      </c>
      <c r="I84" t="str">
        <f>"2289725.59055118"</f>
        <v>2289725.59055118</v>
      </c>
      <c r="J84">
        <v>31.037415540000001</v>
      </c>
      <c r="K84" t="str">
        <f>"-102.27309152"</f>
        <v>-102.27309152</v>
      </c>
      <c r="L84" t="s">
        <v>65</v>
      </c>
      <c r="Q84">
        <v>5455</v>
      </c>
      <c r="R84" t="s">
        <v>44</v>
      </c>
      <c r="AA84" t="s">
        <v>45</v>
      </c>
      <c r="AB84" t="s">
        <v>46</v>
      </c>
      <c r="AC84" t="str">
        <f>"03739"</f>
        <v>03739</v>
      </c>
      <c r="AD84">
        <v>773840</v>
      </c>
      <c r="AE84" t="s">
        <v>79</v>
      </c>
      <c r="AF84" t="s">
        <v>103</v>
      </c>
      <c r="AG84" t="s">
        <v>53</v>
      </c>
      <c r="AH84" t="s">
        <v>105</v>
      </c>
      <c r="AI84" s="7" t="str">
        <f t="shared" si="8"/>
        <v>10502585_7C_   6 C_193</v>
      </c>
      <c r="AJ84" t="s">
        <v>51</v>
      </c>
      <c r="AK84" t="s">
        <v>52</v>
      </c>
    </row>
    <row r="85" spans="1:37" x14ac:dyDescent="0.35">
      <c r="A85" s="3">
        <v>10502585</v>
      </c>
      <c r="B85" s="3" t="str">
        <f t="shared" si="9"/>
        <v>08-193-193</v>
      </c>
      <c r="C85">
        <v>193</v>
      </c>
      <c r="D85" t="s">
        <v>63</v>
      </c>
      <c r="E85">
        <v>4</v>
      </c>
      <c r="F85">
        <v>50</v>
      </c>
      <c r="G85" t="s">
        <v>42</v>
      </c>
      <c r="H85">
        <v>2960319.1715879301</v>
      </c>
      <c r="I85" t="str">
        <f>"2289725.59055118"</f>
        <v>2289725.59055118</v>
      </c>
      <c r="J85">
        <v>31.037415540000001</v>
      </c>
      <c r="K85" t="str">
        <f>"-102.27309152"</f>
        <v>-102.27309152</v>
      </c>
      <c r="L85" t="s">
        <v>65</v>
      </c>
      <c r="Q85">
        <v>5455</v>
      </c>
      <c r="R85" t="s">
        <v>44</v>
      </c>
      <c r="AA85" t="s">
        <v>45</v>
      </c>
      <c r="AB85" t="str">
        <f>"08"</f>
        <v>08</v>
      </c>
      <c r="AC85">
        <v>21736</v>
      </c>
      <c r="AD85">
        <v>617544</v>
      </c>
      <c r="AE85" t="s">
        <v>55</v>
      </c>
      <c r="AF85" t="s">
        <v>66</v>
      </c>
      <c r="AG85" t="s">
        <v>56</v>
      </c>
      <c r="AH85">
        <v>193</v>
      </c>
      <c r="AI85" s="7" t="str">
        <f t="shared" si="8"/>
        <v>10502585_08_193_193</v>
      </c>
      <c r="AJ85" t="s">
        <v>72</v>
      </c>
      <c r="AK85" t="s">
        <v>73</v>
      </c>
    </row>
    <row r="86" spans="1:37" x14ac:dyDescent="0.35">
      <c r="A86" s="3">
        <v>10502586</v>
      </c>
      <c r="B86" s="3" t="str">
        <f t="shared" si="9"/>
        <v>7C-   7 T-197</v>
      </c>
      <c r="C86">
        <v>197</v>
      </c>
      <c r="D86" t="s">
        <v>76</v>
      </c>
      <c r="E86">
        <v>21</v>
      </c>
      <c r="F86">
        <v>50</v>
      </c>
      <c r="G86" t="s">
        <v>42</v>
      </c>
      <c r="H86">
        <v>2961124.1945538102</v>
      </c>
      <c r="I86" t="str">
        <f>"2291773.0410105"</f>
        <v>2291773.0410105</v>
      </c>
      <c r="J86">
        <v>31.039748670000002</v>
      </c>
      <c r="K86" t="str">
        <f>"-102.26659474"</f>
        <v>-102.26659474</v>
      </c>
      <c r="L86" t="s">
        <v>65</v>
      </c>
      <c r="Q86">
        <v>5320</v>
      </c>
      <c r="R86" t="s">
        <v>44</v>
      </c>
      <c r="AA86" t="s">
        <v>45</v>
      </c>
      <c r="AB86" t="s">
        <v>46</v>
      </c>
      <c r="AC86" t="str">
        <f>"03659"</f>
        <v>03659</v>
      </c>
      <c r="AD86">
        <v>773840</v>
      </c>
      <c r="AE86" t="s">
        <v>79</v>
      </c>
      <c r="AF86" t="s">
        <v>103</v>
      </c>
      <c r="AG86" t="s">
        <v>49</v>
      </c>
      <c r="AH86" t="s">
        <v>106</v>
      </c>
      <c r="AI86" s="7" t="str">
        <f t="shared" si="8"/>
        <v>10502586_7C_   7 T_197</v>
      </c>
      <c r="AJ86" t="s">
        <v>51</v>
      </c>
      <c r="AK86" t="s">
        <v>52</v>
      </c>
    </row>
    <row r="87" spans="1:37" x14ac:dyDescent="0.35">
      <c r="A87" s="3">
        <v>10502586</v>
      </c>
      <c r="B87" s="3" t="str">
        <f t="shared" si="9"/>
        <v>7C-   7 C-197</v>
      </c>
      <c r="C87">
        <v>197</v>
      </c>
      <c r="D87" t="s">
        <v>76</v>
      </c>
      <c r="E87">
        <v>21</v>
      </c>
      <c r="F87">
        <v>50</v>
      </c>
      <c r="G87" t="s">
        <v>42</v>
      </c>
      <c r="H87">
        <v>2961124.1945538102</v>
      </c>
      <c r="I87" t="str">
        <f>"2291773.0410105"</f>
        <v>2291773.0410105</v>
      </c>
      <c r="J87">
        <v>31.039748670000002</v>
      </c>
      <c r="K87" t="str">
        <f>"-102.26659474"</f>
        <v>-102.26659474</v>
      </c>
      <c r="L87" t="s">
        <v>65</v>
      </c>
      <c r="Q87">
        <v>5320</v>
      </c>
      <c r="R87" t="s">
        <v>44</v>
      </c>
      <c r="AA87" t="s">
        <v>45</v>
      </c>
      <c r="AB87" t="s">
        <v>46</v>
      </c>
      <c r="AC87" t="str">
        <f>"03739"</f>
        <v>03739</v>
      </c>
      <c r="AD87">
        <v>773840</v>
      </c>
      <c r="AE87" t="s">
        <v>79</v>
      </c>
      <c r="AF87" t="s">
        <v>103</v>
      </c>
      <c r="AG87" t="s">
        <v>53</v>
      </c>
      <c r="AH87" t="s">
        <v>107</v>
      </c>
      <c r="AI87" s="7" t="str">
        <f t="shared" si="8"/>
        <v>10502586_7C_   7 C_197</v>
      </c>
      <c r="AJ87" t="s">
        <v>51</v>
      </c>
      <c r="AK87" t="s">
        <v>52</v>
      </c>
    </row>
    <row r="88" spans="1:37" x14ac:dyDescent="0.35">
      <c r="A88" s="3">
        <v>10502586</v>
      </c>
      <c r="B88" s="3" t="str">
        <f t="shared" si="9"/>
        <v>7C-7-197</v>
      </c>
      <c r="C88">
        <v>197</v>
      </c>
      <c r="D88" t="s">
        <v>76</v>
      </c>
      <c r="E88">
        <v>21</v>
      </c>
      <c r="F88">
        <v>50</v>
      </c>
      <c r="G88" t="s">
        <v>42</v>
      </c>
      <c r="H88">
        <v>2961124.1945538102</v>
      </c>
      <c r="I88" t="str">
        <f>"2291773.0410105"</f>
        <v>2291773.0410105</v>
      </c>
      <c r="J88">
        <v>31.039748670000002</v>
      </c>
      <c r="K88" t="str">
        <f>"-102.26659474"</f>
        <v>-102.26659474</v>
      </c>
      <c r="L88" t="s">
        <v>65</v>
      </c>
      <c r="Q88">
        <v>5320</v>
      </c>
      <c r="R88" t="s">
        <v>44</v>
      </c>
      <c r="AA88" t="s">
        <v>45</v>
      </c>
      <c r="AB88" t="s">
        <v>46</v>
      </c>
      <c r="AC88" t="str">
        <f>"03920"</f>
        <v>03920</v>
      </c>
      <c r="AD88">
        <v>773840</v>
      </c>
      <c r="AE88" t="s">
        <v>79</v>
      </c>
      <c r="AF88" t="s">
        <v>87</v>
      </c>
      <c r="AG88" t="s">
        <v>49</v>
      </c>
      <c r="AH88">
        <v>7</v>
      </c>
      <c r="AI88" s="7" t="str">
        <f t="shared" si="8"/>
        <v>10502586_7C_7_197</v>
      </c>
      <c r="AJ88" t="s">
        <v>51</v>
      </c>
      <c r="AK88" t="s">
        <v>52</v>
      </c>
    </row>
    <row r="89" spans="1:37" x14ac:dyDescent="0.35">
      <c r="A89" s="3">
        <v>10502586</v>
      </c>
      <c r="B89" s="3" t="str">
        <f t="shared" si="9"/>
        <v>08-197-197</v>
      </c>
      <c r="C89">
        <v>197</v>
      </c>
      <c r="D89" t="s">
        <v>76</v>
      </c>
      <c r="E89">
        <v>21</v>
      </c>
      <c r="F89">
        <v>50</v>
      </c>
      <c r="G89" t="s">
        <v>42</v>
      </c>
      <c r="H89">
        <v>2961124.1945538102</v>
      </c>
      <c r="I89" t="str">
        <f>"2291773.0410105"</f>
        <v>2291773.0410105</v>
      </c>
      <c r="J89">
        <v>31.039748670000002</v>
      </c>
      <c r="K89" t="str">
        <f>"-102.26659474"</f>
        <v>-102.26659474</v>
      </c>
      <c r="L89" t="s">
        <v>65</v>
      </c>
      <c r="Q89">
        <v>5320</v>
      </c>
      <c r="R89" t="s">
        <v>44</v>
      </c>
      <c r="AA89" t="s">
        <v>45</v>
      </c>
      <c r="AB89" t="str">
        <f t="shared" ref="AB89:AB96" si="10">"08"</f>
        <v>08</v>
      </c>
      <c r="AC89">
        <v>21736</v>
      </c>
      <c r="AD89">
        <v>617544</v>
      </c>
      <c r="AE89" t="s">
        <v>55</v>
      </c>
      <c r="AF89" t="s">
        <v>66</v>
      </c>
      <c r="AG89" t="s">
        <v>56</v>
      </c>
      <c r="AH89">
        <v>197</v>
      </c>
      <c r="AI89" s="7" t="str">
        <f t="shared" si="8"/>
        <v>10502586_08_197_197</v>
      </c>
      <c r="AJ89" t="s">
        <v>86</v>
      </c>
      <c r="AK89" t="s">
        <v>73</v>
      </c>
    </row>
    <row r="90" spans="1:37" x14ac:dyDescent="0.35">
      <c r="A90" s="3">
        <v>10502591</v>
      </c>
      <c r="B90" s="3" t="str">
        <f t="shared" si="9"/>
        <v>08-1-145GC</v>
      </c>
      <c r="C90" t="s">
        <v>108</v>
      </c>
      <c r="D90" t="s">
        <v>76</v>
      </c>
      <c r="E90">
        <v>21</v>
      </c>
      <c r="F90">
        <v>50</v>
      </c>
      <c r="G90" t="s">
        <v>42</v>
      </c>
      <c r="H90">
        <v>31.062995669999999</v>
      </c>
      <c r="I90" t="str">
        <f>"-102.2811141"</f>
        <v>-102.2811141</v>
      </c>
      <c r="J90">
        <v>31.063145540000001</v>
      </c>
      <c r="K90" t="str">
        <f>"-102.28152955"</f>
        <v>-102.28152955</v>
      </c>
      <c r="L90" t="s">
        <v>65</v>
      </c>
      <c r="Q90">
        <v>5363</v>
      </c>
      <c r="R90" t="s">
        <v>44</v>
      </c>
      <c r="AA90" t="s">
        <v>45</v>
      </c>
      <c r="AB90" t="str">
        <f t="shared" si="10"/>
        <v>08</v>
      </c>
      <c r="AC90">
        <v>16032</v>
      </c>
      <c r="AD90">
        <v>773840</v>
      </c>
      <c r="AE90" t="s">
        <v>79</v>
      </c>
      <c r="AF90" t="s">
        <v>109</v>
      </c>
      <c r="AG90" t="s">
        <v>58</v>
      </c>
      <c r="AH90">
        <v>1</v>
      </c>
      <c r="AI90" s="7" t="str">
        <f t="shared" si="8"/>
        <v>10502591_08_1_145GC</v>
      </c>
      <c r="AJ90" t="s">
        <v>51</v>
      </c>
      <c r="AK90" t="s">
        <v>52</v>
      </c>
    </row>
    <row r="91" spans="1:37" x14ac:dyDescent="0.35">
      <c r="A91" s="3">
        <v>10502591</v>
      </c>
      <c r="B91" s="3" t="str">
        <f t="shared" si="9"/>
        <v>08-145-145GC</v>
      </c>
      <c r="C91" t="s">
        <v>108</v>
      </c>
      <c r="D91" t="s">
        <v>76</v>
      </c>
      <c r="E91">
        <v>21</v>
      </c>
      <c r="F91">
        <v>50</v>
      </c>
      <c r="G91" t="s">
        <v>42</v>
      </c>
      <c r="H91">
        <v>31.062995669999999</v>
      </c>
      <c r="I91" t="str">
        <f>"-102.2811141"</f>
        <v>-102.2811141</v>
      </c>
      <c r="J91">
        <v>31.063145540000001</v>
      </c>
      <c r="K91" t="str">
        <f>"-102.28152955"</f>
        <v>-102.28152955</v>
      </c>
      <c r="L91" t="s">
        <v>65</v>
      </c>
      <c r="Q91">
        <v>5363</v>
      </c>
      <c r="R91" t="s">
        <v>44</v>
      </c>
      <c r="AA91" t="s">
        <v>45</v>
      </c>
      <c r="AB91" t="str">
        <f t="shared" si="10"/>
        <v>08</v>
      </c>
      <c r="AC91">
        <v>21736</v>
      </c>
      <c r="AD91">
        <v>617544</v>
      </c>
      <c r="AE91" t="s">
        <v>55</v>
      </c>
      <c r="AF91" t="s">
        <v>66</v>
      </c>
      <c r="AG91" t="s">
        <v>56</v>
      </c>
      <c r="AH91">
        <v>145</v>
      </c>
      <c r="AI91" s="7" t="str">
        <f t="shared" si="8"/>
        <v>10502591_08_145_145GC</v>
      </c>
      <c r="AJ91" t="s">
        <v>51</v>
      </c>
      <c r="AK91" t="s">
        <v>52</v>
      </c>
    </row>
    <row r="92" spans="1:37" x14ac:dyDescent="0.35">
      <c r="A92" s="3">
        <v>10502591</v>
      </c>
      <c r="B92" s="3" t="str">
        <f t="shared" si="9"/>
        <v>08- 145GC-145GC</v>
      </c>
      <c r="C92" t="s">
        <v>108</v>
      </c>
      <c r="D92" t="s">
        <v>76</v>
      </c>
      <c r="E92">
        <v>21</v>
      </c>
      <c r="F92">
        <v>50</v>
      </c>
      <c r="G92" t="s">
        <v>42</v>
      </c>
      <c r="H92">
        <v>31.062995669999999</v>
      </c>
      <c r="I92" t="str">
        <f>"-102.2811141"</f>
        <v>-102.2811141</v>
      </c>
      <c r="J92">
        <v>31.063145540000001</v>
      </c>
      <c r="K92" t="str">
        <f>"-102.28152955"</f>
        <v>-102.28152955</v>
      </c>
      <c r="L92" t="s">
        <v>65</v>
      </c>
      <c r="Q92">
        <v>5363</v>
      </c>
      <c r="R92" t="s">
        <v>44</v>
      </c>
      <c r="AA92" t="s">
        <v>45</v>
      </c>
      <c r="AB92" t="str">
        <f t="shared" si="10"/>
        <v>08</v>
      </c>
      <c r="AC92">
        <v>21736</v>
      </c>
      <c r="AD92">
        <v>617544</v>
      </c>
      <c r="AE92" t="s">
        <v>55</v>
      </c>
      <c r="AF92" t="s">
        <v>66</v>
      </c>
      <c r="AG92" t="s">
        <v>56</v>
      </c>
      <c r="AH92" t="s">
        <v>110</v>
      </c>
      <c r="AI92" s="7" t="str">
        <f t="shared" si="8"/>
        <v>10502591_08_ 145GC_145GC</v>
      </c>
      <c r="AJ92" t="s">
        <v>86</v>
      </c>
      <c r="AK92" t="s">
        <v>73</v>
      </c>
    </row>
    <row r="93" spans="1:37" x14ac:dyDescent="0.35">
      <c r="A93" s="3">
        <v>10502593</v>
      </c>
      <c r="B93" s="3" t="str">
        <f t="shared" si="9"/>
        <v>08-3-144</v>
      </c>
      <c r="C93">
        <v>144</v>
      </c>
      <c r="D93" t="s">
        <v>76</v>
      </c>
      <c r="E93">
        <v>21</v>
      </c>
      <c r="F93">
        <v>50</v>
      </c>
      <c r="G93" t="s">
        <v>42</v>
      </c>
      <c r="H93">
        <v>31.060459529999999</v>
      </c>
      <c r="I93" t="str">
        <f>"-102.2835359"</f>
        <v>-102.2835359</v>
      </c>
      <c r="J93">
        <v>31.06063288</v>
      </c>
      <c r="K93" t="str">
        <f>"-102.28397222"</f>
        <v>-102.28397222</v>
      </c>
      <c r="L93" t="s">
        <v>65</v>
      </c>
      <c r="Q93">
        <v>5221</v>
      </c>
      <c r="R93" t="s">
        <v>44</v>
      </c>
      <c r="AA93" t="s">
        <v>45</v>
      </c>
      <c r="AB93" t="str">
        <f t="shared" si="10"/>
        <v>08</v>
      </c>
      <c r="AC93">
        <v>16032</v>
      </c>
      <c r="AD93">
        <v>773840</v>
      </c>
      <c r="AE93" t="s">
        <v>79</v>
      </c>
      <c r="AF93" t="s">
        <v>109</v>
      </c>
      <c r="AG93" t="s">
        <v>58</v>
      </c>
      <c r="AH93">
        <v>3</v>
      </c>
      <c r="AI93" s="7" t="str">
        <f t="shared" si="8"/>
        <v>10502593_08_3_144</v>
      </c>
      <c r="AJ93" t="s">
        <v>51</v>
      </c>
      <c r="AK93" t="s">
        <v>52</v>
      </c>
    </row>
    <row r="94" spans="1:37" x14ac:dyDescent="0.35">
      <c r="A94" s="3">
        <v>10502593</v>
      </c>
      <c r="B94" s="3" t="str">
        <f t="shared" si="9"/>
        <v>08-144-144</v>
      </c>
      <c r="C94">
        <v>144</v>
      </c>
      <c r="D94" t="s">
        <v>76</v>
      </c>
      <c r="E94">
        <v>21</v>
      </c>
      <c r="F94">
        <v>50</v>
      </c>
      <c r="G94" t="s">
        <v>42</v>
      </c>
      <c r="H94">
        <v>31.060459529999999</v>
      </c>
      <c r="I94" t="str">
        <f>"-102.2835359"</f>
        <v>-102.2835359</v>
      </c>
      <c r="J94">
        <v>31.06063288</v>
      </c>
      <c r="K94" t="str">
        <f>"-102.28397222"</f>
        <v>-102.28397222</v>
      </c>
      <c r="L94" t="s">
        <v>65</v>
      </c>
      <c r="Q94">
        <v>5221</v>
      </c>
      <c r="R94" t="s">
        <v>44</v>
      </c>
      <c r="AA94" t="s">
        <v>45</v>
      </c>
      <c r="AB94" t="str">
        <f t="shared" si="10"/>
        <v>08</v>
      </c>
      <c r="AC94">
        <v>21736</v>
      </c>
      <c r="AD94">
        <v>617544</v>
      </c>
      <c r="AE94" t="s">
        <v>55</v>
      </c>
      <c r="AF94" t="s">
        <v>66</v>
      </c>
      <c r="AG94" t="s">
        <v>56</v>
      </c>
      <c r="AH94">
        <v>144</v>
      </c>
      <c r="AI94" s="7" t="str">
        <f t="shared" si="8"/>
        <v>10502593_08_144_144</v>
      </c>
      <c r="AJ94" t="s">
        <v>86</v>
      </c>
      <c r="AK94" t="s">
        <v>73</v>
      </c>
    </row>
    <row r="95" spans="1:37" x14ac:dyDescent="0.35">
      <c r="A95" s="3">
        <v>10502594</v>
      </c>
      <c r="B95" s="3" t="str">
        <f t="shared" si="9"/>
        <v>08-4-143</v>
      </c>
      <c r="C95">
        <v>143</v>
      </c>
      <c r="D95" t="s">
        <v>63</v>
      </c>
      <c r="E95">
        <v>4</v>
      </c>
      <c r="F95">
        <v>50</v>
      </c>
      <c r="G95" t="s">
        <v>42</v>
      </c>
      <c r="H95">
        <v>31.056121480000002</v>
      </c>
      <c r="I95" t="str">
        <f>"-102.28690477"</f>
        <v>-102.28690477</v>
      </c>
      <c r="J95">
        <v>31.05627161</v>
      </c>
      <c r="K95" t="str">
        <f>"-102.28732031"</f>
        <v>-102.28732031</v>
      </c>
      <c r="L95" t="s">
        <v>65</v>
      </c>
      <c r="Q95">
        <v>5125</v>
      </c>
      <c r="R95" t="s">
        <v>44</v>
      </c>
      <c r="AA95" t="s">
        <v>45</v>
      </c>
      <c r="AB95" t="str">
        <f t="shared" si="10"/>
        <v>08</v>
      </c>
      <c r="AC95">
        <v>16032</v>
      </c>
      <c r="AD95">
        <v>773840</v>
      </c>
      <c r="AE95" t="s">
        <v>79</v>
      </c>
      <c r="AF95" t="s">
        <v>109</v>
      </c>
      <c r="AG95" t="s">
        <v>58</v>
      </c>
      <c r="AH95">
        <v>4</v>
      </c>
      <c r="AI95" s="7" t="str">
        <f t="shared" si="8"/>
        <v>10502594_08_4_143</v>
      </c>
      <c r="AJ95" t="s">
        <v>51</v>
      </c>
      <c r="AK95" t="s">
        <v>52</v>
      </c>
    </row>
    <row r="96" spans="1:37" x14ac:dyDescent="0.35">
      <c r="A96" s="3">
        <v>10502594</v>
      </c>
      <c r="B96" s="3" t="str">
        <f t="shared" si="9"/>
        <v>08-143-143</v>
      </c>
      <c r="C96">
        <v>143</v>
      </c>
      <c r="D96" t="s">
        <v>63</v>
      </c>
      <c r="E96">
        <v>4</v>
      </c>
      <c r="F96">
        <v>50</v>
      </c>
      <c r="G96" t="s">
        <v>42</v>
      </c>
      <c r="H96">
        <v>31.056121480000002</v>
      </c>
      <c r="I96" t="str">
        <f>"-102.28690477"</f>
        <v>-102.28690477</v>
      </c>
      <c r="J96">
        <v>31.05627161</v>
      </c>
      <c r="K96" t="str">
        <f>"-102.28732031"</f>
        <v>-102.28732031</v>
      </c>
      <c r="L96" t="s">
        <v>65</v>
      </c>
      <c r="Q96">
        <v>5125</v>
      </c>
      <c r="R96" t="s">
        <v>44</v>
      </c>
      <c r="AA96" t="s">
        <v>45</v>
      </c>
      <c r="AB96" t="str">
        <f t="shared" si="10"/>
        <v>08</v>
      </c>
      <c r="AC96">
        <v>21736</v>
      </c>
      <c r="AD96">
        <v>617544</v>
      </c>
      <c r="AE96" t="s">
        <v>55</v>
      </c>
      <c r="AF96" t="s">
        <v>66</v>
      </c>
      <c r="AG96" t="s">
        <v>56</v>
      </c>
      <c r="AH96">
        <v>143</v>
      </c>
      <c r="AI96" s="7" t="str">
        <f t="shared" si="8"/>
        <v>10502594_08_143_143</v>
      </c>
      <c r="AJ96" t="s">
        <v>72</v>
      </c>
      <c r="AK96" t="s">
        <v>73</v>
      </c>
    </row>
    <row r="97" spans="1:37" x14ac:dyDescent="0.35">
      <c r="A97" s="3">
        <v>10502597</v>
      </c>
      <c r="B97" s="3" t="str">
        <f t="shared" si="9"/>
        <v>7C-   2 T-186G</v>
      </c>
      <c r="C97" t="s">
        <v>111</v>
      </c>
      <c r="D97" t="s">
        <v>112</v>
      </c>
      <c r="E97">
        <v>23</v>
      </c>
      <c r="F97">
        <v>50</v>
      </c>
      <c r="G97" t="s">
        <v>42</v>
      </c>
      <c r="H97">
        <v>31.041342539999999</v>
      </c>
      <c r="I97" t="str">
        <f>"-102.27414437"</f>
        <v>-102.27414437</v>
      </c>
      <c r="J97">
        <v>31.041493190000001</v>
      </c>
      <c r="K97" t="str">
        <f>"-102.27455929"</f>
        <v>-102.27455929</v>
      </c>
      <c r="L97" t="s">
        <v>65</v>
      </c>
      <c r="Q97">
        <v>5407</v>
      </c>
      <c r="R97" t="s">
        <v>44</v>
      </c>
      <c r="AA97" t="s">
        <v>45</v>
      </c>
      <c r="AB97" t="s">
        <v>46</v>
      </c>
      <c r="AC97" t="str">
        <f>"03762"</f>
        <v>03762</v>
      </c>
      <c r="AD97">
        <v>773840</v>
      </c>
      <c r="AE97" t="s">
        <v>79</v>
      </c>
      <c r="AF97" t="s">
        <v>113</v>
      </c>
      <c r="AG97" t="s">
        <v>49</v>
      </c>
      <c r="AH97" t="s">
        <v>59</v>
      </c>
      <c r="AI97" s="7" t="str">
        <f t="shared" si="8"/>
        <v>10502597_7C_   2 T_186G</v>
      </c>
      <c r="AJ97" t="s">
        <v>51</v>
      </c>
      <c r="AK97" t="s">
        <v>52</v>
      </c>
    </row>
    <row r="98" spans="1:37" x14ac:dyDescent="0.35">
      <c r="A98" s="3">
        <v>10502597</v>
      </c>
      <c r="B98" s="3" t="str">
        <f t="shared" si="9"/>
        <v>7C-   2 C-186G</v>
      </c>
      <c r="C98" t="s">
        <v>111</v>
      </c>
      <c r="D98" t="s">
        <v>112</v>
      </c>
      <c r="E98">
        <v>23</v>
      </c>
      <c r="F98">
        <v>50</v>
      </c>
      <c r="G98" t="s">
        <v>42</v>
      </c>
      <c r="H98">
        <v>31.041342539999999</v>
      </c>
      <c r="I98" t="str">
        <f>"-102.27414437"</f>
        <v>-102.27414437</v>
      </c>
      <c r="J98">
        <v>31.041493190000001</v>
      </c>
      <c r="K98" t="str">
        <f>"-102.27455929"</f>
        <v>-102.27455929</v>
      </c>
      <c r="L98" t="s">
        <v>65</v>
      </c>
      <c r="Q98">
        <v>5407</v>
      </c>
      <c r="R98" t="s">
        <v>44</v>
      </c>
      <c r="AA98" t="s">
        <v>45</v>
      </c>
      <c r="AB98" t="s">
        <v>46</v>
      </c>
      <c r="AC98" t="str">
        <f>"03775"</f>
        <v>03775</v>
      </c>
      <c r="AD98">
        <v>773840</v>
      </c>
      <c r="AE98" t="s">
        <v>79</v>
      </c>
      <c r="AF98" t="s">
        <v>113</v>
      </c>
      <c r="AG98" t="s">
        <v>53</v>
      </c>
      <c r="AH98" t="s">
        <v>88</v>
      </c>
      <c r="AI98" s="7" t="str">
        <f t="shared" si="8"/>
        <v>10502597_7C_   2 C_186G</v>
      </c>
      <c r="AJ98" t="s">
        <v>51</v>
      </c>
      <c r="AK98" t="s">
        <v>52</v>
      </c>
    </row>
    <row r="99" spans="1:37" x14ac:dyDescent="0.35">
      <c r="A99" s="3">
        <v>10502597</v>
      </c>
      <c r="B99" s="3" t="str">
        <f t="shared" si="9"/>
        <v>08-186-186G</v>
      </c>
      <c r="C99" t="s">
        <v>111</v>
      </c>
      <c r="D99" t="s">
        <v>112</v>
      </c>
      <c r="E99">
        <v>23</v>
      </c>
      <c r="F99">
        <v>50</v>
      </c>
      <c r="G99" t="s">
        <v>42</v>
      </c>
      <c r="H99">
        <v>31.041342539999999</v>
      </c>
      <c r="I99" t="str">
        <f>"-102.27414437"</f>
        <v>-102.27414437</v>
      </c>
      <c r="J99">
        <v>31.041493190000001</v>
      </c>
      <c r="K99" t="str">
        <f>"-102.27455929"</f>
        <v>-102.27455929</v>
      </c>
      <c r="L99" t="s">
        <v>65</v>
      </c>
      <c r="Q99">
        <v>5407</v>
      </c>
      <c r="R99" t="s">
        <v>44</v>
      </c>
      <c r="AA99" t="s">
        <v>45</v>
      </c>
      <c r="AB99" t="str">
        <f>"08"</f>
        <v>08</v>
      </c>
      <c r="AC99">
        <v>21736</v>
      </c>
      <c r="AD99">
        <v>617544</v>
      </c>
      <c r="AE99" t="s">
        <v>55</v>
      </c>
      <c r="AF99" t="s">
        <v>66</v>
      </c>
      <c r="AG99" t="s">
        <v>56</v>
      </c>
      <c r="AH99">
        <v>186</v>
      </c>
      <c r="AI99" s="7" t="str">
        <f t="shared" si="8"/>
        <v>10502597_08_186_186G</v>
      </c>
      <c r="AJ99" t="s">
        <v>51</v>
      </c>
      <c r="AK99" t="s">
        <v>52</v>
      </c>
    </row>
    <row r="100" spans="1:37" x14ac:dyDescent="0.35">
      <c r="A100" s="3">
        <v>10502597</v>
      </c>
      <c r="B100" s="3" t="str">
        <f t="shared" si="9"/>
        <v>08- 186 U-186G</v>
      </c>
      <c r="C100" t="s">
        <v>111</v>
      </c>
      <c r="D100" t="s">
        <v>112</v>
      </c>
      <c r="E100">
        <v>23</v>
      </c>
      <c r="F100">
        <v>50</v>
      </c>
      <c r="G100" t="s">
        <v>42</v>
      </c>
      <c r="H100">
        <v>31.041342539999999</v>
      </c>
      <c r="I100" t="str">
        <f>"-102.27414437"</f>
        <v>-102.27414437</v>
      </c>
      <c r="J100">
        <v>31.041493190000001</v>
      </c>
      <c r="K100" t="str">
        <f>"-102.27455929"</f>
        <v>-102.27455929</v>
      </c>
      <c r="L100" t="s">
        <v>65</v>
      </c>
      <c r="Q100">
        <v>5407</v>
      </c>
      <c r="R100" t="s">
        <v>44</v>
      </c>
      <c r="AA100" t="s">
        <v>45</v>
      </c>
      <c r="AB100" t="str">
        <f>"08"</f>
        <v>08</v>
      </c>
      <c r="AC100">
        <v>21736</v>
      </c>
      <c r="AD100">
        <v>617544</v>
      </c>
      <c r="AE100" t="s">
        <v>55</v>
      </c>
      <c r="AF100" t="s">
        <v>66</v>
      </c>
      <c r="AG100" t="s">
        <v>56</v>
      </c>
      <c r="AH100" t="s">
        <v>114</v>
      </c>
      <c r="AI100" s="7" t="str">
        <f t="shared" si="8"/>
        <v>10502597_08_ 186 U_186G</v>
      </c>
      <c r="AJ100" t="s">
        <v>51</v>
      </c>
      <c r="AK100" t="s">
        <v>52</v>
      </c>
    </row>
    <row r="101" spans="1:37" x14ac:dyDescent="0.35">
      <c r="A101" s="3">
        <v>10502597</v>
      </c>
      <c r="B101" s="3" t="str">
        <f t="shared" si="9"/>
        <v>08- 186G -186G</v>
      </c>
      <c r="C101" t="s">
        <v>111</v>
      </c>
      <c r="D101" t="s">
        <v>112</v>
      </c>
      <c r="E101">
        <v>23</v>
      </c>
      <c r="F101">
        <v>50</v>
      </c>
      <c r="G101" t="s">
        <v>42</v>
      </c>
      <c r="H101">
        <v>31.041342539999999</v>
      </c>
      <c r="I101" t="str">
        <f>"-102.27414437"</f>
        <v>-102.27414437</v>
      </c>
      <c r="J101">
        <v>31.041493190000001</v>
      </c>
      <c r="K101" t="str">
        <f>"-102.27455929"</f>
        <v>-102.27455929</v>
      </c>
      <c r="L101" t="s">
        <v>65</v>
      </c>
      <c r="Q101">
        <v>5407</v>
      </c>
      <c r="R101" t="s">
        <v>44</v>
      </c>
      <c r="AA101" t="s">
        <v>45</v>
      </c>
      <c r="AB101" t="str">
        <f>"08"</f>
        <v>08</v>
      </c>
      <c r="AC101">
        <v>21736</v>
      </c>
      <c r="AD101">
        <v>617544</v>
      </c>
      <c r="AE101" t="s">
        <v>55</v>
      </c>
      <c r="AF101" t="s">
        <v>66</v>
      </c>
      <c r="AG101" t="s">
        <v>56</v>
      </c>
      <c r="AH101" t="s">
        <v>115</v>
      </c>
      <c r="AI101" s="7" t="str">
        <f t="shared" si="8"/>
        <v>10502597_08_ 186G _186G</v>
      </c>
      <c r="AJ101" t="s">
        <v>86</v>
      </c>
      <c r="AK101" t="s">
        <v>73</v>
      </c>
    </row>
    <row r="102" spans="1:37" x14ac:dyDescent="0.35">
      <c r="A102" s="3">
        <v>10502598</v>
      </c>
      <c r="B102" s="3" t="str">
        <f t="shared" si="9"/>
        <v>7C-   3 T-185</v>
      </c>
      <c r="C102">
        <v>185</v>
      </c>
      <c r="D102" t="s">
        <v>76</v>
      </c>
      <c r="E102">
        <v>21</v>
      </c>
      <c r="F102">
        <v>50</v>
      </c>
      <c r="G102" t="s">
        <v>42</v>
      </c>
      <c r="H102">
        <v>2960900.8973097098</v>
      </c>
      <c r="I102" t="str">
        <f>"2288502.15124673"</f>
        <v>2288502.15124673</v>
      </c>
      <c r="J102">
        <v>31.038948569999999</v>
      </c>
      <c r="K102" t="str">
        <f>"-102.27704346"</f>
        <v>-102.27704346</v>
      </c>
      <c r="L102" t="s">
        <v>65</v>
      </c>
      <c r="Q102">
        <v>5290</v>
      </c>
      <c r="R102" t="s">
        <v>44</v>
      </c>
      <c r="AA102" t="s">
        <v>45</v>
      </c>
      <c r="AB102" t="s">
        <v>46</v>
      </c>
      <c r="AC102" t="str">
        <f>"03762"</f>
        <v>03762</v>
      </c>
      <c r="AD102">
        <v>773840</v>
      </c>
      <c r="AE102" t="s">
        <v>79</v>
      </c>
      <c r="AF102" t="s">
        <v>113</v>
      </c>
      <c r="AG102" t="s">
        <v>49</v>
      </c>
      <c r="AH102" t="s">
        <v>70</v>
      </c>
      <c r="AI102" s="7" t="str">
        <f t="shared" si="8"/>
        <v>10502598_7C_   3 T_185</v>
      </c>
      <c r="AJ102" t="s">
        <v>51</v>
      </c>
      <c r="AK102" t="s">
        <v>52</v>
      </c>
    </row>
    <row r="103" spans="1:37" x14ac:dyDescent="0.35">
      <c r="A103" s="3">
        <v>10502598</v>
      </c>
      <c r="B103" s="3" t="str">
        <f t="shared" si="9"/>
        <v>7C-   3 T-185</v>
      </c>
      <c r="C103">
        <v>185</v>
      </c>
      <c r="D103" t="s">
        <v>76</v>
      </c>
      <c r="E103">
        <v>21</v>
      </c>
      <c r="F103">
        <v>50</v>
      </c>
      <c r="G103" t="s">
        <v>42</v>
      </c>
      <c r="H103">
        <v>2960900.8973097098</v>
      </c>
      <c r="I103" t="str">
        <f>"2288502.15124673"</f>
        <v>2288502.15124673</v>
      </c>
      <c r="J103">
        <v>31.038948569999999</v>
      </c>
      <c r="K103" t="str">
        <f>"-102.27704346"</f>
        <v>-102.27704346</v>
      </c>
      <c r="L103" t="s">
        <v>65</v>
      </c>
      <c r="Q103">
        <v>5290</v>
      </c>
      <c r="R103" t="s">
        <v>44</v>
      </c>
      <c r="AA103" t="s">
        <v>45</v>
      </c>
      <c r="AB103" t="s">
        <v>46</v>
      </c>
      <c r="AC103" t="str">
        <f>"03775"</f>
        <v>03775</v>
      </c>
      <c r="AD103">
        <v>773840</v>
      </c>
      <c r="AE103" t="s">
        <v>79</v>
      </c>
      <c r="AF103" t="s">
        <v>113</v>
      </c>
      <c r="AG103" t="s">
        <v>53</v>
      </c>
      <c r="AH103" t="s">
        <v>70</v>
      </c>
      <c r="AI103" s="7" t="str">
        <f t="shared" si="8"/>
        <v>10502598_7C_   3 T_185</v>
      </c>
      <c r="AJ103" t="s">
        <v>51</v>
      </c>
      <c r="AK103" t="s">
        <v>52</v>
      </c>
    </row>
    <row r="104" spans="1:37" x14ac:dyDescent="0.35">
      <c r="A104" s="3">
        <v>10502598</v>
      </c>
      <c r="B104" s="3" t="str">
        <f t="shared" si="9"/>
        <v>08-185-185</v>
      </c>
      <c r="C104">
        <v>185</v>
      </c>
      <c r="D104" t="s">
        <v>76</v>
      </c>
      <c r="E104">
        <v>21</v>
      </c>
      <c r="F104">
        <v>50</v>
      </c>
      <c r="G104" t="s">
        <v>42</v>
      </c>
      <c r="H104">
        <v>2960900.8973097098</v>
      </c>
      <c r="I104" t="str">
        <f>"2288502.15124673"</f>
        <v>2288502.15124673</v>
      </c>
      <c r="J104">
        <v>31.038948569999999</v>
      </c>
      <c r="K104" t="str">
        <f>"-102.27704346"</f>
        <v>-102.27704346</v>
      </c>
      <c r="L104" t="s">
        <v>65</v>
      </c>
      <c r="Q104">
        <v>5290</v>
      </c>
      <c r="R104" t="s">
        <v>44</v>
      </c>
      <c r="AA104" t="s">
        <v>45</v>
      </c>
      <c r="AB104" t="str">
        <f>"08"</f>
        <v>08</v>
      </c>
      <c r="AC104">
        <v>21736</v>
      </c>
      <c r="AD104">
        <v>617544</v>
      </c>
      <c r="AE104" t="s">
        <v>55</v>
      </c>
      <c r="AF104" t="s">
        <v>66</v>
      </c>
      <c r="AG104" t="s">
        <v>56</v>
      </c>
      <c r="AH104">
        <v>185</v>
      </c>
      <c r="AI104" s="7" t="str">
        <f t="shared" si="8"/>
        <v>10502598_08_185_185</v>
      </c>
      <c r="AJ104" t="s">
        <v>86</v>
      </c>
      <c r="AK104" t="s">
        <v>73</v>
      </c>
    </row>
    <row r="105" spans="1:37" x14ac:dyDescent="0.35">
      <c r="A105" s="3">
        <v>10502599</v>
      </c>
      <c r="B105" s="3" t="str">
        <f t="shared" si="9"/>
        <v>7C-   1 T-179G</v>
      </c>
      <c r="C105" t="s">
        <v>116</v>
      </c>
      <c r="D105" t="s">
        <v>76</v>
      </c>
      <c r="E105">
        <v>21</v>
      </c>
      <c r="F105">
        <v>50</v>
      </c>
      <c r="G105" t="s">
        <v>42</v>
      </c>
      <c r="H105">
        <v>31.04636601</v>
      </c>
      <c r="I105" t="str">
        <f>"-102.2744184"</f>
        <v>-102.2744184</v>
      </c>
      <c r="J105">
        <v>31.046516489999998</v>
      </c>
      <c r="K105" t="str">
        <f>"-102.27483341"</f>
        <v>-102.27483341</v>
      </c>
      <c r="L105" t="s">
        <v>65</v>
      </c>
      <c r="Q105">
        <v>5355</v>
      </c>
      <c r="R105" t="s">
        <v>44</v>
      </c>
      <c r="AA105" t="s">
        <v>45</v>
      </c>
      <c r="AB105" t="s">
        <v>46</v>
      </c>
      <c r="AC105" t="str">
        <f>"03776"</f>
        <v>03776</v>
      </c>
      <c r="AD105">
        <v>773840</v>
      </c>
      <c r="AE105" t="s">
        <v>79</v>
      </c>
      <c r="AF105" t="s">
        <v>117</v>
      </c>
      <c r="AG105" t="s">
        <v>49</v>
      </c>
      <c r="AH105" t="s">
        <v>50</v>
      </c>
      <c r="AI105" s="7" t="str">
        <f t="shared" si="8"/>
        <v>10502599_7C_   1 T_179G</v>
      </c>
      <c r="AJ105" t="s">
        <v>51</v>
      </c>
      <c r="AK105" t="s">
        <v>52</v>
      </c>
    </row>
    <row r="106" spans="1:37" x14ac:dyDescent="0.35">
      <c r="A106" s="3">
        <v>10502599</v>
      </c>
      <c r="B106" s="3" t="str">
        <f t="shared" si="9"/>
        <v>7C-   1 C-179G</v>
      </c>
      <c r="C106" t="s">
        <v>116</v>
      </c>
      <c r="D106" t="s">
        <v>76</v>
      </c>
      <c r="E106">
        <v>21</v>
      </c>
      <c r="F106">
        <v>50</v>
      </c>
      <c r="G106" t="s">
        <v>42</v>
      </c>
      <c r="H106">
        <v>31.04636601</v>
      </c>
      <c r="I106" t="str">
        <f>"-102.2744184"</f>
        <v>-102.2744184</v>
      </c>
      <c r="J106">
        <v>31.046516489999998</v>
      </c>
      <c r="K106" t="str">
        <f>"-102.27483341"</f>
        <v>-102.27483341</v>
      </c>
      <c r="L106" t="s">
        <v>65</v>
      </c>
      <c r="Q106">
        <v>5355</v>
      </c>
      <c r="R106" t="s">
        <v>44</v>
      </c>
      <c r="AA106" t="s">
        <v>45</v>
      </c>
      <c r="AB106" t="s">
        <v>46</v>
      </c>
      <c r="AC106" t="str">
        <f>"03779"</f>
        <v>03779</v>
      </c>
      <c r="AD106">
        <v>773840</v>
      </c>
      <c r="AE106" t="s">
        <v>79</v>
      </c>
      <c r="AF106" t="s">
        <v>118</v>
      </c>
      <c r="AG106" t="s">
        <v>53</v>
      </c>
      <c r="AH106" t="s">
        <v>54</v>
      </c>
      <c r="AI106" s="7" t="str">
        <f t="shared" si="8"/>
        <v>10502599_7C_   1 C_179G</v>
      </c>
      <c r="AJ106" t="s">
        <v>51</v>
      </c>
      <c r="AK106" t="s">
        <v>52</v>
      </c>
    </row>
    <row r="107" spans="1:37" x14ac:dyDescent="0.35">
      <c r="A107" s="3">
        <v>10502599</v>
      </c>
      <c r="B107" s="3" t="str">
        <f t="shared" si="9"/>
        <v>08- 179 U-179G</v>
      </c>
      <c r="C107" t="s">
        <v>116</v>
      </c>
      <c r="D107" t="s">
        <v>76</v>
      </c>
      <c r="E107">
        <v>21</v>
      </c>
      <c r="F107">
        <v>50</v>
      </c>
      <c r="G107" t="s">
        <v>42</v>
      </c>
      <c r="H107">
        <v>31.04636601</v>
      </c>
      <c r="I107" t="str">
        <f>"-102.2744184"</f>
        <v>-102.2744184</v>
      </c>
      <c r="J107">
        <v>31.046516489999998</v>
      </c>
      <c r="K107" t="str">
        <f>"-102.27483341"</f>
        <v>-102.27483341</v>
      </c>
      <c r="L107" t="s">
        <v>65</v>
      </c>
      <c r="Q107">
        <v>5355</v>
      </c>
      <c r="R107" t="s">
        <v>44</v>
      </c>
      <c r="AA107" t="s">
        <v>45</v>
      </c>
      <c r="AB107" t="str">
        <f>"08"</f>
        <v>08</v>
      </c>
      <c r="AC107">
        <v>21736</v>
      </c>
      <c r="AD107">
        <v>617544</v>
      </c>
      <c r="AE107" t="s">
        <v>55</v>
      </c>
      <c r="AF107" t="s">
        <v>66</v>
      </c>
      <c r="AG107" t="s">
        <v>56</v>
      </c>
      <c r="AH107" t="s">
        <v>119</v>
      </c>
      <c r="AI107" s="7" t="str">
        <f t="shared" si="8"/>
        <v>10502599_08_ 179 U_179G</v>
      </c>
      <c r="AJ107" t="s">
        <v>51</v>
      </c>
      <c r="AK107" t="s">
        <v>52</v>
      </c>
    </row>
    <row r="108" spans="1:37" x14ac:dyDescent="0.35">
      <c r="A108" s="3">
        <v>10502599</v>
      </c>
      <c r="B108" s="3" t="str">
        <f t="shared" si="9"/>
        <v>08- 179G -179G</v>
      </c>
      <c r="C108" t="s">
        <v>116</v>
      </c>
      <c r="D108" t="s">
        <v>76</v>
      </c>
      <c r="E108">
        <v>21</v>
      </c>
      <c r="F108">
        <v>50</v>
      </c>
      <c r="G108" t="s">
        <v>42</v>
      </c>
      <c r="H108">
        <v>31.04636601</v>
      </c>
      <c r="I108" t="str">
        <f>"-102.2744184"</f>
        <v>-102.2744184</v>
      </c>
      <c r="J108">
        <v>31.046516489999998</v>
      </c>
      <c r="K108" t="str">
        <f>"-102.27483341"</f>
        <v>-102.27483341</v>
      </c>
      <c r="L108" t="s">
        <v>65</v>
      </c>
      <c r="Q108">
        <v>5355</v>
      </c>
      <c r="R108" t="s">
        <v>44</v>
      </c>
      <c r="AA108" t="s">
        <v>45</v>
      </c>
      <c r="AB108" t="str">
        <f>"08"</f>
        <v>08</v>
      </c>
      <c r="AC108">
        <v>21736</v>
      </c>
      <c r="AD108">
        <v>617544</v>
      </c>
      <c r="AE108" t="s">
        <v>55</v>
      </c>
      <c r="AF108" t="s">
        <v>66</v>
      </c>
      <c r="AG108" t="s">
        <v>56</v>
      </c>
      <c r="AH108" t="s">
        <v>120</v>
      </c>
      <c r="AI108" s="7" t="str">
        <f t="shared" si="8"/>
        <v>10502599_08_ 179G _179G</v>
      </c>
      <c r="AJ108" t="s">
        <v>86</v>
      </c>
      <c r="AK108" t="s">
        <v>73</v>
      </c>
    </row>
    <row r="109" spans="1:37" x14ac:dyDescent="0.35">
      <c r="A109" s="3">
        <v>10502600</v>
      </c>
      <c r="B109" s="3" t="str">
        <f t="shared" si="9"/>
        <v>7C-   1 T-187</v>
      </c>
      <c r="C109">
        <v>187</v>
      </c>
      <c r="D109" t="s">
        <v>63</v>
      </c>
      <c r="E109">
        <v>4</v>
      </c>
      <c r="F109">
        <v>15</v>
      </c>
      <c r="G109" t="s">
        <v>40</v>
      </c>
      <c r="H109">
        <v>31.043473800000001</v>
      </c>
      <c r="I109" t="str">
        <f>"-102.271793"</f>
        <v>-102.271793</v>
      </c>
      <c r="J109">
        <v>31.043624390000002</v>
      </c>
      <c r="K109" t="str">
        <f>"-102.27220789"</f>
        <v>-102.27220789</v>
      </c>
      <c r="L109" t="s">
        <v>65</v>
      </c>
      <c r="Q109">
        <v>0</v>
      </c>
      <c r="R109" t="s">
        <v>44</v>
      </c>
      <c r="AA109" t="s">
        <v>45</v>
      </c>
      <c r="AB109" t="s">
        <v>46</v>
      </c>
      <c r="AC109" t="str">
        <f>"03762"</f>
        <v>03762</v>
      </c>
      <c r="AD109">
        <v>773840</v>
      </c>
      <c r="AE109" t="s">
        <v>79</v>
      </c>
      <c r="AF109" t="s">
        <v>113</v>
      </c>
      <c r="AG109" t="s">
        <v>49</v>
      </c>
      <c r="AH109" t="s">
        <v>50</v>
      </c>
      <c r="AI109" s="7" t="str">
        <f t="shared" si="8"/>
        <v>10502600_7C_   1 T_187</v>
      </c>
      <c r="AJ109" t="s">
        <v>51</v>
      </c>
      <c r="AK109" t="s">
        <v>52</v>
      </c>
    </row>
    <row r="110" spans="1:37" x14ac:dyDescent="0.35">
      <c r="A110" s="3">
        <v>10502600</v>
      </c>
      <c r="B110" s="3" t="str">
        <f t="shared" si="9"/>
        <v>7C-   1 C-187</v>
      </c>
      <c r="C110">
        <v>187</v>
      </c>
      <c r="D110" t="s">
        <v>63</v>
      </c>
      <c r="E110">
        <v>4</v>
      </c>
      <c r="F110">
        <v>15</v>
      </c>
      <c r="G110" t="s">
        <v>40</v>
      </c>
      <c r="H110">
        <v>31.043473800000001</v>
      </c>
      <c r="I110" t="str">
        <f>"-102.271793"</f>
        <v>-102.271793</v>
      </c>
      <c r="J110">
        <v>31.043624390000002</v>
      </c>
      <c r="K110" t="str">
        <f>"-102.27220789"</f>
        <v>-102.27220789</v>
      </c>
      <c r="L110" t="s">
        <v>65</v>
      </c>
      <c r="Q110">
        <v>0</v>
      </c>
      <c r="R110" t="s">
        <v>44</v>
      </c>
      <c r="AA110" t="s">
        <v>45</v>
      </c>
      <c r="AB110" t="s">
        <v>46</v>
      </c>
      <c r="AC110" t="str">
        <f>"03775"</f>
        <v>03775</v>
      </c>
      <c r="AD110">
        <v>773840</v>
      </c>
      <c r="AE110" t="s">
        <v>79</v>
      </c>
      <c r="AF110" t="s">
        <v>113</v>
      </c>
      <c r="AG110" t="s">
        <v>53</v>
      </c>
      <c r="AH110" t="s">
        <v>54</v>
      </c>
      <c r="AI110" s="7" t="str">
        <f t="shared" si="8"/>
        <v>10502600_7C_   1 C_187</v>
      </c>
      <c r="AJ110" t="s">
        <v>51</v>
      </c>
      <c r="AK110" t="s">
        <v>52</v>
      </c>
    </row>
    <row r="111" spans="1:37" x14ac:dyDescent="0.35">
      <c r="A111" s="3">
        <v>10502600</v>
      </c>
      <c r="B111" s="3" t="str">
        <f t="shared" si="9"/>
        <v>08-187-187</v>
      </c>
      <c r="C111">
        <v>187</v>
      </c>
      <c r="D111" t="s">
        <v>63</v>
      </c>
      <c r="E111">
        <v>4</v>
      </c>
      <c r="F111">
        <v>15</v>
      </c>
      <c r="G111" t="s">
        <v>40</v>
      </c>
      <c r="H111">
        <v>31.043473800000001</v>
      </c>
      <c r="I111" t="str">
        <f>"-102.271793"</f>
        <v>-102.271793</v>
      </c>
      <c r="J111">
        <v>31.043624390000002</v>
      </c>
      <c r="K111" t="str">
        <f>"-102.27220789"</f>
        <v>-102.27220789</v>
      </c>
      <c r="L111" t="s">
        <v>65</v>
      </c>
      <c r="Q111">
        <v>0</v>
      </c>
      <c r="R111" t="s">
        <v>44</v>
      </c>
      <c r="AA111" t="s">
        <v>45</v>
      </c>
      <c r="AB111" t="str">
        <f>"08"</f>
        <v>08</v>
      </c>
      <c r="AC111">
        <v>21736</v>
      </c>
      <c r="AD111">
        <v>617544</v>
      </c>
      <c r="AE111" t="s">
        <v>55</v>
      </c>
      <c r="AF111" t="s">
        <v>66</v>
      </c>
      <c r="AG111" t="s">
        <v>56</v>
      </c>
      <c r="AH111">
        <v>187</v>
      </c>
      <c r="AI111" s="7" t="str">
        <f t="shared" si="8"/>
        <v>10502600_08_187_187</v>
      </c>
      <c r="AJ111" t="s">
        <v>72</v>
      </c>
      <c r="AK111" t="s">
        <v>73</v>
      </c>
    </row>
    <row r="112" spans="1:37" x14ac:dyDescent="0.35">
      <c r="A112" s="3">
        <v>10502600</v>
      </c>
      <c r="B112" s="3" t="str">
        <f t="shared" si="9"/>
        <v>08- 187 C-187</v>
      </c>
      <c r="C112">
        <v>187</v>
      </c>
      <c r="D112" t="s">
        <v>63</v>
      </c>
      <c r="E112">
        <v>4</v>
      </c>
      <c r="F112">
        <v>15</v>
      </c>
      <c r="G112" t="s">
        <v>40</v>
      </c>
      <c r="H112">
        <v>31.043473800000001</v>
      </c>
      <c r="I112" t="str">
        <f>"-102.271793"</f>
        <v>-102.271793</v>
      </c>
      <c r="J112">
        <v>31.043624390000002</v>
      </c>
      <c r="K112" t="str">
        <f>"-102.27220789"</f>
        <v>-102.27220789</v>
      </c>
      <c r="L112" t="s">
        <v>65</v>
      </c>
      <c r="Q112">
        <v>0</v>
      </c>
      <c r="R112" t="s">
        <v>44</v>
      </c>
      <c r="AA112" t="s">
        <v>45</v>
      </c>
      <c r="AB112" t="str">
        <f>"08"</f>
        <v>08</v>
      </c>
      <c r="AC112">
        <v>21736</v>
      </c>
      <c r="AD112">
        <v>617544</v>
      </c>
      <c r="AE112" t="s">
        <v>55</v>
      </c>
      <c r="AF112" t="s">
        <v>66</v>
      </c>
      <c r="AG112" t="s">
        <v>56</v>
      </c>
      <c r="AH112" t="s">
        <v>121</v>
      </c>
      <c r="AI112" s="7" t="str">
        <f t="shared" si="8"/>
        <v>10502600_08_ 187 C_187</v>
      </c>
      <c r="AJ112" t="s">
        <v>51</v>
      </c>
      <c r="AK112" t="s">
        <v>52</v>
      </c>
    </row>
    <row r="113" spans="1:39" x14ac:dyDescent="0.35">
      <c r="A113" s="3">
        <v>10502601</v>
      </c>
      <c r="B113" s="3" t="str">
        <f t="shared" si="9"/>
        <v>7C-   2 T-178</v>
      </c>
      <c r="C113">
        <v>178</v>
      </c>
      <c r="D113" t="s">
        <v>63</v>
      </c>
      <c r="E113">
        <v>4</v>
      </c>
      <c r="F113">
        <v>50</v>
      </c>
      <c r="G113" t="s">
        <v>42</v>
      </c>
      <c r="H113">
        <v>31.0438443</v>
      </c>
      <c r="I113" t="str">
        <f t="shared" ref="I113:I118" si="11">"-102.27690166"</f>
        <v>-102.27690166</v>
      </c>
      <c r="J113">
        <v>31.043994850000001</v>
      </c>
      <c r="K113" t="str">
        <f t="shared" ref="K113:K118" si="12">"-102.27731674"</f>
        <v>-102.27731674</v>
      </c>
      <c r="L113" t="s">
        <v>65</v>
      </c>
      <c r="Q113">
        <v>5310</v>
      </c>
      <c r="R113" t="s">
        <v>44</v>
      </c>
      <c r="AA113" t="s">
        <v>45</v>
      </c>
      <c r="AB113" t="s">
        <v>46</v>
      </c>
      <c r="AC113" t="str">
        <f>"03776"</f>
        <v>03776</v>
      </c>
      <c r="AD113">
        <v>773840</v>
      </c>
      <c r="AE113" t="s">
        <v>79</v>
      </c>
      <c r="AF113" t="s">
        <v>117</v>
      </c>
      <c r="AG113" t="s">
        <v>49</v>
      </c>
      <c r="AH113" t="s">
        <v>59</v>
      </c>
      <c r="AI113" s="7" t="str">
        <f t="shared" si="8"/>
        <v>10502601_7C_   2 T_178</v>
      </c>
      <c r="AJ113" t="s">
        <v>51</v>
      </c>
      <c r="AK113" t="s">
        <v>52</v>
      </c>
    </row>
    <row r="114" spans="1:39" x14ac:dyDescent="0.35">
      <c r="A114" s="3">
        <v>10502601</v>
      </c>
      <c r="B114" s="3" t="str">
        <f t="shared" si="9"/>
        <v>7C-   2 C-178</v>
      </c>
      <c r="C114">
        <v>178</v>
      </c>
      <c r="D114" t="s">
        <v>63</v>
      </c>
      <c r="E114">
        <v>4</v>
      </c>
      <c r="F114">
        <v>50</v>
      </c>
      <c r="G114" t="s">
        <v>42</v>
      </c>
      <c r="H114">
        <v>31.0438443</v>
      </c>
      <c r="I114" t="str">
        <f t="shared" si="11"/>
        <v>-102.27690166</v>
      </c>
      <c r="J114">
        <v>31.043994850000001</v>
      </c>
      <c r="K114" t="str">
        <f t="shared" si="12"/>
        <v>-102.27731674</v>
      </c>
      <c r="L114" t="s">
        <v>65</v>
      </c>
      <c r="Q114">
        <v>5310</v>
      </c>
      <c r="R114" t="s">
        <v>44</v>
      </c>
      <c r="AA114" t="s">
        <v>45</v>
      </c>
      <c r="AB114" t="s">
        <v>46</v>
      </c>
      <c r="AC114" t="str">
        <f>"03779"</f>
        <v>03779</v>
      </c>
      <c r="AD114">
        <v>773840</v>
      </c>
      <c r="AE114" t="s">
        <v>79</v>
      </c>
      <c r="AF114" t="s">
        <v>118</v>
      </c>
      <c r="AG114" t="s">
        <v>53</v>
      </c>
      <c r="AH114" t="s">
        <v>88</v>
      </c>
      <c r="AI114" s="7" t="str">
        <f t="shared" si="8"/>
        <v>10502601_7C_   2 C_178</v>
      </c>
      <c r="AJ114" t="s">
        <v>51</v>
      </c>
      <c r="AK114" t="s">
        <v>52</v>
      </c>
    </row>
    <row r="115" spans="1:39" x14ac:dyDescent="0.35">
      <c r="A115" s="3">
        <v>10502601</v>
      </c>
      <c r="B115" s="3" t="str">
        <f t="shared" si="9"/>
        <v>08-178-178</v>
      </c>
      <c r="C115">
        <v>178</v>
      </c>
      <c r="D115" t="s">
        <v>63</v>
      </c>
      <c r="E115">
        <v>4</v>
      </c>
      <c r="F115">
        <v>50</v>
      </c>
      <c r="G115" t="s">
        <v>42</v>
      </c>
      <c r="H115">
        <v>31.0438443</v>
      </c>
      <c r="I115" t="str">
        <f t="shared" si="11"/>
        <v>-102.27690166</v>
      </c>
      <c r="J115">
        <v>31.043994850000001</v>
      </c>
      <c r="K115" t="str">
        <f t="shared" si="12"/>
        <v>-102.27731674</v>
      </c>
      <c r="L115" t="s">
        <v>65</v>
      </c>
      <c r="Q115">
        <v>5310</v>
      </c>
      <c r="R115" t="s">
        <v>44</v>
      </c>
      <c r="AA115" t="s">
        <v>45</v>
      </c>
      <c r="AB115" t="str">
        <f>"08"</f>
        <v>08</v>
      </c>
      <c r="AC115">
        <v>21736</v>
      </c>
      <c r="AD115">
        <v>617544</v>
      </c>
      <c r="AE115" t="s">
        <v>55</v>
      </c>
      <c r="AF115" t="s">
        <v>66</v>
      </c>
      <c r="AG115" t="s">
        <v>56</v>
      </c>
      <c r="AH115">
        <v>178</v>
      </c>
      <c r="AI115" s="7" t="str">
        <f t="shared" si="8"/>
        <v>10502601_08_178_178</v>
      </c>
      <c r="AJ115" t="s">
        <v>72</v>
      </c>
      <c r="AK115" t="s">
        <v>73</v>
      </c>
    </row>
    <row r="116" spans="1:39" x14ac:dyDescent="0.35">
      <c r="A116" s="3">
        <v>10502601</v>
      </c>
      <c r="B116" s="3" t="str">
        <f t="shared" si="9"/>
        <v>08- 178 U-178</v>
      </c>
      <c r="C116">
        <v>178</v>
      </c>
      <c r="D116" t="s">
        <v>63</v>
      </c>
      <c r="E116">
        <v>4</v>
      </c>
      <c r="F116">
        <v>50</v>
      </c>
      <c r="G116" t="s">
        <v>42</v>
      </c>
      <c r="H116">
        <v>31.0438443</v>
      </c>
      <c r="I116" t="str">
        <f t="shared" si="11"/>
        <v>-102.27690166</v>
      </c>
      <c r="J116">
        <v>31.043994850000001</v>
      </c>
      <c r="K116" t="str">
        <f t="shared" si="12"/>
        <v>-102.27731674</v>
      </c>
      <c r="L116" t="s">
        <v>65</v>
      </c>
      <c r="Q116">
        <v>5310</v>
      </c>
      <c r="R116" t="s">
        <v>44</v>
      </c>
      <c r="AA116" t="s">
        <v>45</v>
      </c>
      <c r="AB116" t="str">
        <f>"08"</f>
        <v>08</v>
      </c>
      <c r="AC116">
        <v>21736</v>
      </c>
      <c r="AD116">
        <v>617544</v>
      </c>
      <c r="AE116" t="s">
        <v>55</v>
      </c>
      <c r="AF116" t="s">
        <v>66</v>
      </c>
      <c r="AG116" t="s">
        <v>56</v>
      </c>
      <c r="AH116" t="s">
        <v>122</v>
      </c>
      <c r="AI116" s="7" t="str">
        <f t="shared" si="8"/>
        <v>10502601_08_ 178 U_178</v>
      </c>
      <c r="AJ116" t="s">
        <v>51</v>
      </c>
      <c r="AK116" t="s">
        <v>52</v>
      </c>
    </row>
    <row r="117" spans="1:39" x14ac:dyDescent="0.35">
      <c r="A117" s="3">
        <v>10502601</v>
      </c>
      <c r="B117" s="3" t="str">
        <f t="shared" si="9"/>
        <v>08-178-178</v>
      </c>
      <c r="C117">
        <v>178</v>
      </c>
      <c r="D117" t="s">
        <v>63</v>
      </c>
      <c r="E117">
        <v>4</v>
      </c>
      <c r="F117">
        <v>50</v>
      </c>
      <c r="G117" t="s">
        <v>42</v>
      </c>
      <c r="H117">
        <v>31.0438443</v>
      </c>
      <c r="I117" t="str">
        <f t="shared" si="11"/>
        <v>-102.27690166</v>
      </c>
      <c r="J117">
        <v>31.043994850000001</v>
      </c>
      <c r="K117" t="str">
        <f t="shared" si="12"/>
        <v>-102.27731674</v>
      </c>
      <c r="L117" t="s">
        <v>65</v>
      </c>
      <c r="Q117">
        <v>5310</v>
      </c>
      <c r="R117" t="s">
        <v>44</v>
      </c>
      <c r="AA117" t="s">
        <v>45</v>
      </c>
      <c r="AB117" t="str">
        <f>"08"</f>
        <v>08</v>
      </c>
      <c r="AC117">
        <v>21737</v>
      </c>
      <c r="AD117">
        <v>773840</v>
      </c>
      <c r="AE117" t="s">
        <v>79</v>
      </c>
      <c r="AF117" t="s">
        <v>66</v>
      </c>
      <c r="AG117" t="s">
        <v>58</v>
      </c>
      <c r="AH117">
        <v>178</v>
      </c>
      <c r="AI117" s="7" t="str">
        <f t="shared" si="8"/>
        <v>10502601_08_178_178</v>
      </c>
      <c r="AJ117" t="s">
        <v>51</v>
      </c>
      <c r="AK117" t="s">
        <v>52</v>
      </c>
    </row>
    <row r="118" spans="1:39" x14ac:dyDescent="0.35">
      <c r="A118" s="3">
        <v>10502601</v>
      </c>
      <c r="B118" s="3" t="str">
        <f t="shared" si="9"/>
        <v>08- 178 L-178</v>
      </c>
      <c r="C118">
        <v>178</v>
      </c>
      <c r="D118" t="s">
        <v>63</v>
      </c>
      <c r="E118">
        <v>4</v>
      </c>
      <c r="F118">
        <v>50</v>
      </c>
      <c r="G118" t="s">
        <v>42</v>
      </c>
      <c r="H118">
        <v>31.0438443</v>
      </c>
      <c r="I118" t="str">
        <f t="shared" si="11"/>
        <v>-102.27690166</v>
      </c>
      <c r="J118">
        <v>31.043994850000001</v>
      </c>
      <c r="K118" t="str">
        <f t="shared" si="12"/>
        <v>-102.27731674</v>
      </c>
      <c r="L118" t="s">
        <v>65</v>
      </c>
      <c r="Q118">
        <v>5310</v>
      </c>
      <c r="R118" t="s">
        <v>44</v>
      </c>
      <c r="AA118" t="s">
        <v>45</v>
      </c>
      <c r="AB118" t="str">
        <f>"08"</f>
        <v>08</v>
      </c>
      <c r="AC118">
        <v>21737</v>
      </c>
      <c r="AD118">
        <v>773840</v>
      </c>
      <c r="AE118" t="s">
        <v>79</v>
      </c>
      <c r="AF118" t="s">
        <v>66</v>
      </c>
      <c r="AG118" t="s">
        <v>58</v>
      </c>
      <c r="AH118" t="s">
        <v>123</v>
      </c>
      <c r="AI118" s="7" t="str">
        <f t="shared" si="8"/>
        <v>10502601_08_ 178 L_178</v>
      </c>
      <c r="AJ118" t="s">
        <v>51</v>
      </c>
      <c r="AK118" t="s">
        <v>52</v>
      </c>
    </row>
    <row r="119" spans="1:39" x14ac:dyDescent="0.35">
      <c r="A119" s="3">
        <v>10502602</v>
      </c>
      <c r="B119" s="3" t="str">
        <f t="shared" si="9"/>
        <v>7C-3-177G</v>
      </c>
      <c r="C119" t="s">
        <v>124</v>
      </c>
      <c r="D119" t="s">
        <v>76</v>
      </c>
      <c r="E119">
        <v>21</v>
      </c>
      <c r="F119">
        <v>50</v>
      </c>
      <c r="G119" t="s">
        <v>42</v>
      </c>
      <c r="H119">
        <v>2961815.8484252002</v>
      </c>
      <c r="I119" t="str">
        <f>"2287618.49606299"</f>
        <v>2287618.49606299</v>
      </c>
      <c r="J119">
        <v>31.041418620000002</v>
      </c>
      <c r="K119" t="str">
        <f>"-102.27993053"</f>
        <v>-102.27993053</v>
      </c>
      <c r="L119" t="s">
        <v>65</v>
      </c>
      <c r="Q119">
        <v>5250</v>
      </c>
      <c r="R119" t="s">
        <v>44</v>
      </c>
      <c r="AA119" t="s">
        <v>45</v>
      </c>
      <c r="AB119" t="s">
        <v>46</v>
      </c>
      <c r="AC119" t="str">
        <f>"03776"</f>
        <v>03776</v>
      </c>
      <c r="AD119">
        <v>773840</v>
      </c>
      <c r="AE119" t="s">
        <v>79</v>
      </c>
      <c r="AF119" t="s">
        <v>117</v>
      </c>
      <c r="AG119" t="s">
        <v>49</v>
      </c>
      <c r="AH119">
        <v>3</v>
      </c>
      <c r="AI119" s="7" t="str">
        <f t="shared" si="8"/>
        <v>10502602_7C_3_177G</v>
      </c>
      <c r="AJ119" t="s">
        <v>51</v>
      </c>
      <c r="AK119" t="s">
        <v>52</v>
      </c>
    </row>
    <row r="120" spans="1:39" x14ac:dyDescent="0.35">
      <c r="A120" s="3">
        <v>10502602</v>
      </c>
      <c r="B120" s="3" t="str">
        <f t="shared" si="9"/>
        <v>08- 177G -177G</v>
      </c>
      <c r="C120" t="s">
        <v>124</v>
      </c>
      <c r="D120" t="s">
        <v>76</v>
      </c>
      <c r="E120">
        <v>21</v>
      </c>
      <c r="F120">
        <v>50</v>
      </c>
      <c r="G120" t="s">
        <v>42</v>
      </c>
      <c r="H120">
        <v>2961815.8484252002</v>
      </c>
      <c r="I120" t="str">
        <f>"2287618.49606299"</f>
        <v>2287618.49606299</v>
      </c>
      <c r="J120">
        <v>31.041418620000002</v>
      </c>
      <c r="K120" t="str">
        <f>"-102.27993053"</f>
        <v>-102.27993053</v>
      </c>
      <c r="L120" t="s">
        <v>65</v>
      </c>
      <c r="Q120">
        <v>5250</v>
      </c>
      <c r="R120" t="s">
        <v>44</v>
      </c>
      <c r="AA120" t="s">
        <v>45</v>
      </c>
      <c r="AB120" t="str">
        <f>"08"</f>
        <v>08</v>
      </c>
      <c r="AC120">
        <v>21736</v>
      </c>
      <c r="AD120">
        <v>617544</v>
      </c>
      <c r="AE120" t="s">
        <v>55</v>
      </c>
      <c r="AF120" t="s">
        <v>66</v>
      </c>
      <c r="AG120" t="s">
        <v>56</v>
      </c>
      <c r="AH120" t="s">
        <v>125</v>
      </c>
      <c r="AI120" s="7" t="str">
        <f t="shared" si="8"/>
        <v>10502602_08_ 177G _177G</v>
      </c>
      <c r="AJ120" t="s">
        <v>86</v>
      </c>
      <c r="AK120" t="s">
        <v>73</v>
      </c>
    </row>
    <row r="121" spans="1:39" x14ac:dyDescent="0.35">
      <c r="A121" s="3">
        <v>10502603</v>
      </c>
      <c r="B121" s="3" t="str">
        <f t="shared" si="9"/>
        <v>7C-   4 C-176</v>
      </c>
      <c r="C121">
        <v>176</v>
      </c>
      <c r="D121" t="s">
        <v>41</v>
      </c>
      <c r="E121">
        <v>7</v>
      </c>
      <c r="F121">
        <v>50</v>
      </c>
      <c r="G121" t="s">
        <v>42</v>
      </c>
      <c r="H121">
        <v>31.03861552</v>
      </c>
      <c r="I121" t="str">
        <f>"-102.28283106"</f>
        <v>-102.28283106</v>
      </c>
      <c r="J121">
        <v>31.038766169999999</v>
      </c>
      <c r="K121" t="str">
        <f>"-102.28324624"</f>
        <v>-102.28324624</v>
      </c>
      <c r="L121" t="s">
        <v>43</v>
      </c>
      <c r="Q121">
        <v>5216</v>
      </c>
      <c r="R121" t="s">
        <v>44</v>
      </c>
      <c r="AA121" t="s">
        <v>45</v>
      </c>
      <c r="AB121" t="s">
        <v>46</v>
      </c>
      <c r="AC121" t="str">
        <f>"03779"</f>
        <v>03779</v>
      </c>
      <c r="AD121">
        <v>773840</v>
      </c>
      <c r="AE121" t="s">
        <v>79</v>
      </c>
      <c r="AF121" t="s">
        <v>118</v>
      </c>
      <c r="AG121" t="s">
        <v>53</v>
      </c>
      <c r="AH121" t="s">
        <v>94</v>
      </c>
      <c r="AI121" s="7" t="str">
        <f t="shared" si="8"/>
        <v>10502603_7C_   4 C_176</v>
      </c>
      <c r="AJ121" t="s">
        <v>51</v>
      </c>
      <c r="AK121" t="s">
        <v>52</v>
      </c>
      <c r="AL121" s="1">
        <v>32759</v>
      </c>
      <c r="AM121">
        <v>5216</v>
      </c>
    </row>
    <row r="122" spans="1:39" x14ac:dyDescent="0.35">
      <c r="A122" s="3">
        <v>10502603</v>
      </c>
      <c r="B122" s="3" t="str">
        <f t="shared" si="9"/>
        <v>08-176-176</v>
      </c>
      <c r="C122">
        <v>176</v>
      </c>
      <c r="D122" t="s">
        <v>41</v>
      </c>
      <c r="E122">
        <v>7</v>
      </c>
      <c r="F122">
        <v>50</v>
      </c>
      <c r="G122" t="s">
        <v>42</v>
      </c>
      <c r="H122">
        <v>31.03861552</v>
      </c>
      <c r="I122" t="str">
        <f>"-102.28283106"</f>
        <v>-102.28283106</v>
      </c>
      <c r="J122">
        <v>31.038766169999999</v>
      </c>
      <c r="K122" t="str">
        <f>"-102.28324624"</f>
        <v>-102.28324624</v>
      </c>
      <c r="L122" t="s">
        <v>43</v>
      </c>
      <c r="Q122">
        <v>5216</v>
      </c>
      <c r="R122" t="s">
        <v>44</v>
      </c>
      <c r="AA122" t="s">
        <v>45</v>
      </c>
      <c r="AB122" t="str">
        <f>"08"</f>
        <v>08</v>
      </c>
      <c r="AC122">
        <v>21736</v>
      </c>
      <c r="AD122">
        <v>617544</v>
      </c>
      <c r="AE122" t="s">
        <v>55</v>
      </c>
      <c r="AF122" t="s">
        <v>66</v>
      </c>
      <c r="AG122" t="s">
        <v>56</v>
      </c>
      <c r="AH122">
        <v>176</v>
      </c>
      <c r="AI122" s="7" t="str">
        <f t="shared" si="8"/>
        <v>10502603_08_176_176</v>
      </c>
      <c r="AJ122" t="s">
        <v>51</v>
      </c>
      <c r="AK122" t="s">
        <v>52</v>
      </c>
      <c r="AL122" s="1">
        <v>32759</v>
      </c>
      <c r="AM122">
        <v>5216</v>
      </c>
    </row>
    <row r="123" spans="1:39" x14ac:dyDescent="0.35">
      <c r="A123" s="3">
        <v>10502603</v>
      </c>
      <c r="B123" s="3" t="str">
        <f t="shared" si="9"/>
        <v>08- 176 U-176</v>
      </c>
      <c r="C123">
        <v>176</v>
      </c>
      <c r="D123" t="s">
        <v>41</v>
      </c>
      <c r="E123">
        <v>7</v>
      </c>
      <c r="F123">
        <v>50</v>
      </c>
      <c r="G123" t="s">
        <v>42</v>
      </c>
      <c r="H123">
        <v>31.03861552</v>
      </c>
      <c r="I123" t="str">
        <f>"-102.28283106"</f>
        <v>-102.28283106</v>
      </c>
      <c r="J123">
        <v>31.038766169999999</v>
      </c>
      <c r="K123" t="str">
        <f>"-102.28324624"</f>
        <v>-102.28324624</v>
      </c>
      <c r="L123" t="s">
        <v>43</v>
      </c>
      <c r="Q123">
        <v>5216</v>
      </c>
      <c r="R123" t="s">
        <v>44</v>
      </c>
      <c r="AA123" t="s">
        <v>45</v>
      </c>
      <c r="AB123" t="str">
        <f>"08"</f>
        <v>08</v>
      </c>
      <c r="AC123">
        <v>21736</v>
      </c>
      <c r="AD123">
        <v>617544</v>
      </c>
      <c r="AE123" t="s">
        <v>55</v>
      </c>
      <c r="AF123" t="s">
        <v>66</v>
      </c>
      <c r="AG123" t="s">
        <v>56</v>
      </c>
      <c r="AH123" t="s">
        <v>126</v>
      </c>
      <c r="AI123" s="7" t="str">
        <f t="shared" si="8"/>
        <v>10502603_08_ 176 U_176</v>
      </c>
      <c r="AJ123" t="s">
        <v>51</v>
      </c>
      <c r="AK123" t="s">
        <v>52</v>
      </c>
      <c r="AL123" s="1">
        <v>32759</v>
      </c>
      <c r="AM123">
        <v>5216</v>
      </c>
    </row>
    <row r="124" spans="1:39" x14ac:dyDescent="0.35">
      <c r="A124" s="3">
        <v>10502603</v>
      </c>
      <c r="B124" s="3" t="str">
        <f t="shared" si="9"/>
        <v>08- 176G -176</v>
      </c>
      <c r="C124">
        <v>176</v>
      </c>
      <c r="D124" t="s">
        <v>41</v>
      </c>
      <c r="E124">
        <v>7</v>
      </c>
      <c r="F124">
        <v>50</v>
      </c>
      <c r="G124" t="s">
        <v>42</v>
      </c>
      <c r="H124">
        <v>31.03861552</v>
      </c>
      <c r="I124" t="str">
        <f>"-102.28283106"</f>
        <v>-102.28283106</v>
      </c>
      <c r="J124">
        <v>31.038766169999999</v>
      </c>
      <c r="K124" t="str">
        <f>"-102.28324624"</f>
        <v>-102.28324624</v>
      </c>
      <c r="L124" t="s">
        <v>43</v>
      </c>
      <c r="Q124">
        <v>5216</v>
      </c>
      <c r="R124" t="s">
        <v>44</v>
      </c>
      <c r="AA124" t="s">
        <v>45</v>
      </c>
      <c r="AB124" t="str">
        <f>"08"</f>
        <v>08</v>
      </c>
      <c r="AC124">
        <v>21736</v>
      </c>
      <c r="AD124">
        <v>617544</v>
      </c>
      <c r="AE124" t="s">
        <v>55</v>
      </c>
      <c r="AF124" t="s">
        <v>66</v>
      </c>
      <c r="AG124" t="s">
        <v>56</v>
      </c>
      <c r="AH124" t="s">
        <v>127</v>
      </c>
      <c r="AI124" s="7" t="str">
        <f t="shared" si="8"/>
        <v>10502603_08_ 176G _176</v>
      </c>
      <c r="AJ124" t="s">
        <v>51</v>
      </c>
      <c r="AK124" t="s">
        <v>52</v>
      </c>
      <c r="AL124" s="1">
        <v>32759</v>
      </c>
      <c r="AM124">
        <v>5216</v>
      </c>
    </row>
    <row r="125" spans="1:39" x14ac:dyDescent="0.35">
      <c r="A125" s="3">
        <v>10502604</v>
      </c>
      <c r="B125" s="3" t="str">
        <f t="shared" si="9"/>
        <v>7C-   1 T-180</v>
      </c>
      <c r="C125">
        <v>180</v>
      </c>
      <c r="D125" t="s">
        <v>63</v>
      </c>
      <c r="E125">
        <v>4</v>
      </c>
      <c r="F125">
        <v>50</v>
      </c>
      <c r="G125" t="s">
        <v>42</v>
      </c>
      <c r="H125">
        <v>31.04838797</v>
      </c>
      <c r="I125" t="str">
        <f t="shared" ref="I125:I130" si="13">"-102.27232145"</f>
        <v>-102.27232145</v>
      </c>
      <c r="J125">
        <v>31.048538409999999</v>
      </c>
      <c r="K125" t="str">
        <f t="shared" ref="K125:K130" si="14">"-102.27273643"</f>
        <v>-102.27273643</v>
      </c>
      <c r="L125" t="s">
        <v>65</v>
      </c>
      <c r="Q125">
        <v>5336</v>
      </c>
      <c r="R125" t="s">
        <v>44</v>
      </c>
      <c r="AA125" t="s">
        <v>45</v>
      </c>
      <c r="AB125" t="s">
        <v>46</v>
      </c>
      <c r="AC125" t="str">
        <f>"03839"</f>
        <v>03839</v>
      </c>
      <c r="AD125">
        <v>773840</v>
      </c>
      <c r="AE125" t="s">
        <v>79</v>
      </c>
      <c r="AF125" t="s">
        <v>128</v>
      </c>
      <c r="AG125" t="s">
        <v>49</v>
      </c>
      <c r="AH125" t="s">
        <v>50</v>
      </c>
      <c r="AI125" s="7" t="str">
        <f t="shared" si="8"/>
        <v>10502604_7C_   1 T_180</v>
      </c>
      <c r="AJ125" t="s">
        <v>51</v>
      </c>
      <c r="AK125" t="s">
        <v>52</v>
      </c>
    </row>
    <row r="126" spans="1:39" x14ac:dyDescent="0.35">
      <c r="A126" s="3">
        <v>10502604</v>
      </c>
      <c r="B126" s="3" t="str">
        <f t="shared" si="9"/>
        <v>7C-   1 C-180</v>
      </c>
      <c r="C126">
        <v>180</v>
      </c>
      <c r="D126" t="s">
        <v>63</v>
      </c>
      <c r="E126">
        <v>4</v>
      </c>
      <c r="F126">
        <v>50</v>
      </c>
      <c r="G126" t="s">
        <v>42</v>
      </c>
      <c r="H126">
        <v>31.04838797</v>
      </c>
      <c r="I126" t="str">
        <f t="shared" si="13"/>
        <v>-102.27232145</v>
      </c>
      <c r="J126">
        <v>31.048538409999999</v>
      </c>
      <c r="K126" t="str">
        <f t="shared" si="14"/>
        <v>-102.27273643</v>
      </c>
      <c r="L126" t="s">
        <v>65</v>
      </c>
      <c r="Q126">
        <v>5336</v>
      </c>
      <c r="R126" t="s">
        <v>44</v>
      </c>
      <c r="AA126" t="s">
        <v>45</v>
      </c>
      <c r="AB126" t="s">
        <v>46</v>
      </c>
      <c r="AC126" t="str">
        <f>"03840"</f>
        <v>03840</v>
      </c>
      <c r="AD126">
        <v>773840</v>
      </c>
      <c r="AE126" t="s">
        <v>79</v>
      </c>
      <c r="AF126" t="s">
        <v>128</v>
      </c>
      <c r="AG126" t="s">
        <v>53</v>
      </c>
      <c r="AH126" t="s">
        <v>54</v>
      </c>
      <c r="AI126" s="7" t="str">
        <f t="shared" si="8"/>
        <v>10502604_7C_   1 C_180</v>
      </c>
      <c r="AJ126" t="s">
        <v>51</v>
      </c>
      <c r="AK126" t="s">
        <v>52</v>
      </c>
    </row>
    <row r="127" spans="1:39" x14ac:dyDescent="0.35">
      <c r="A127" s="3">
        <v>10502604</v>
      </c>
      <c r="B127" s="3" t="str">
        <f t="shared" si="9"/>
        <v>08-180-180</v>
      </c>
      <c r="C127">
        <v>180</v>
      </c>
      <c r="D127" t="s">
        <v>63</v>
      </c>
      <c r="E127">
        <v>4</v>
      </c>
      <c r="F127">
        <v>50</v>
      </c>
      <c r="G127" t="s">
        <v>42</v>
      </c>
      <c r="H127">
        <v>31.04838797</v>
      </c>
      <c r="I127" t="str">
        <f t="shared" si="13"/>
        <v>-102.27232145</v>
      </c>
      <c r="J127">
        <v>31.048538409999999</v>
      </c>
      <c r="K127" t="str">
        <f t="shared" si="14"/>
        <v>-102.27273643</v>
      </c>
      <c r="L127" t="s">
        <v>65</v>
      </c>
      <c r="Q127">
        <v>5336</v>
      </c>
      <c r="R127" t="s">
        <v>44</v>
      </c>
      <c r="AA127" t="s">
        <v>45</v>
      </c>
      <c r="AB127" t="str">
        <f t="shared" ref="AB127:AB132" si="15">"08"</f>
        <v>08</v>
      </c>
      <c r="AC127">
        <v>21736</v>
      </c>
      <c r="AD127">
        <v>617544</v>
      </c>
      <c r="AE127" t="s">
        <v>55</v>
      </c>
      <c r="AF127" t="s">
        <v>66</v>
      </c>
      <c r="AG127" t="s">
        <v>56</v>
      </c>
      <c r="AH127">
        <v>180</v>
      </c>
      <c r="AI127" s="7" t="str">
        <f t="shared" si="8"/>
        <v>10502604_08_180_180</v>
      </c>
      <c r="AJ127" t="s">
        <v>72</v>
      </c>
      <c r="AK127" t="s">
        <v>73</v>
      </c>
    </row>
    <row r="128" spans="1:39" x14ac:dyDescent="0.35">
      <c r="A128" s="3">
        <v>10502604</v>
      </c>
      <c r="B128" s="3" t="str">
        <f t="shared" si="9"/>
        <v>08- 180 U-180</v>
      </c>
      <c r="C128">
        <v>180</v>
      </c>
      <c r="D128" t="s">
        <v>63</v>
      </c>
      <c r="E128">
        <v>4</v>
      </c>
      <c r="F128">
        <v>50</v>
      </c>
      <c r="G128" t="s">
        <v>42</v>
      </c>
      <c r="H128">
        <v>31.04838797</v>
      </c>
      <c r="I128" t="str">
        <f t="shared" si="13"/>
        <v>-102.27232145</v>
      </c>
      <c r="J128">
        <v>31.048538409999999</v>
      </c>
      <c r="K128" t="str">
        <f t="shared" si="14"/>
        <v>-102.27273643</v>
      </c>
      <c r="L128" t="s">
        <v>65</v>
      </c>
      <c r="Q128">
        <v>5336</v>
      </c>
      <c r="R128" t="s">
        <v>44</v>
      </c>
      <c r="AA128" t="s">
        <v>45</v>
      </c>
      <c r="AB128" t="str">
        <f t="shared" si="15"/>
        <v>08</v>
      </c>
      <c r="AC128">
        <v>21736</v>
      </c>
      <c r="AD128">
        <v>617544</v>
      </c>
      <c r="AE128" t="s">
        <v>55</v>
      </c>
      <c r="AF128" t="s">
        <v>66</v>
      </c>
      <c r="AG128" t="s">
        <v>56</v>
      </c>
      <c r="AH128" t="s">
        <v>129</v>
      </c>
      <c r="AI128" s="7" t="str">
        <f t="shared" si="8"/>
        <v>10502604_08_ 180 U_180</v>
      </c>
      <c r="AJ128" t="s">
        <v>51</v>
      </c>
      <c r="AK128" t="s">
        <v>52</v>
      </c>
    </row>
    <row r="129" spans="1:37" x14ac:dyDescent="0.35">
      <c r="A129" s="3">
        <v>10502604</v>
      </c>
      <c r="B129" s="3" t="str">
        <f t="shared" si="9"/>
        <v>08-180-180</v>
      </c>
      <c r="C129">
        <v>180</v>
      </c>
      <c r="D129" t="s">
        <v>63</v>
      </c>
      <c r="E129">
        <v>4</v>
      </c>
      <c r="F129">
        <v>50</v>
      </c>
      <c r="G129" t="s">
        <v>42</v>
      </c>
      <c r="H129">
        <v>31.04838797</v>
      </c>
      <c r="I129" t="str">
        <f t="shared" si="13"/>
        <v>-102.27232145</v>
      </c>
      <c r="J129">
        <v>31.048538409999999</v>
      </c>
      <c r="K129" t="str">
        <f t="shared" si="14"/>
        <v>-102.27273643</v>
      </c>
      <c r="L129" t="s">
        <v>65</v>
      </c>
      <c r="Q129">
        <v>5336</v>
      </c>
      <c r="R129" t="s">
        <v>44</v>
      </c>
      <c r="AA129" t="s">
        <v>45</v>
      </c>
      <c r="AB129" t="str">
        <f t="shared" si="15"/>
        <v>08</v>
      </c>
      <c r="AC129">
        <v>21737</v>
      </c>
      <c r="AD129">
        <v>773840</v>
      </c>
      <c r="AE129" t="s">
        <v>79</v>
      </c>
      <c r="AF129" t="s">
        <v>66</v>
      </c>
      <c r="AG129" t="s">
        <v>58</v>
      </c>
      <c r="AH129">
        <v>180</v>
      </c>
      <c r="AI129" s="7" t="str">
        <f t="shared" si="8"/>
        <v>10502604_08_180_180</v>
      </c>
      <c r="AJ129" t="s">
        <v>51</v>
      </c>
      <c r="AK129" t="s">
        <v>52</v>
      </c>
    </row>
    <row r="130" spans="1:37" x14ac:dyDescent="0.35">
      <c r="A130" s="3">
        <v>10502604</v>
      </c>
      <c r="B130" s="3" t="str">
        <f t="shared" si="9"/>
        <v>08- 180 L-180</v>
      </c>
      <c r="C130">
        <v>180</v>
      </c>
      <c r="D130" t="s">
        <v>63</v>
      </c>
      <c r="E130">
        <v>4</v>
      </c>
      <c r="F130">
        <v>50</v>
      </c>
      <c r="G130" t="s">
        <v>42</v>
      </c>
      <c r="H130">
        <v>31.04838797</v>
      </c>
      <c r="I130" t="str">
        <f t="shared" si="13"/>
        <v>-102.27232145</v>
      </c>
      <c r="J130">
        <v>31.048538409999999</v>
      </c>
      <c r="K130" t="str">
        <f t="shared" si="14"/>
        <v>-102.27273643</v>
      </c>
      <c r="L130" t="s">
        <v>65</v>
      </c>
      <c r="Q130">
        <v>5336</v>
      </c>
      <c r="R130" t="s">
        <v>44</v>
      </c>
      <c r="AA130" t="s">
        <v>45</v>
      </c>
      <c r="AB130" t="str">
        <f t="shared" si="15"/>
        <v>08</v>
      </c>
      <c r="AC130">
        <v>21737</v>
      </c>
      <c r="AD130">
        <v>773840</v>
      </c>
      <c r="AE130" t="s">
        <v>79</v>
      </c>
      <c r="AF130" t="s">
        <v>66</v>
      </c>
      <c r="AG130" t="s">
        <v>58</v>
      </c>
      <c r="AH130" t="s">
        <v>130</v>
      </c>
      <c r="AI130" s="7" t="str">
        <f t="shared" ref="AI130:AI193" si="16">A130&amp;"_"&amp;AB130&amp;"_"&amp;AH130&amp;"_"&amp;C130</f>
        <v>10502604_08_ 180 L_180</v>
      </c>
      <c r="AJ130" t="s">
        <v>51</v>
      </c>
      <c r="AK130" t="s">
        <v>52</v>
      </c>
    </row>
    <row r="131" spans="1:37" x14ac:dyDescent="0.35">
      <c r="A131" s="3">
        <v>10502605</v>
      </c>
      <c r="B131" s="3" t="str">
        <f t="shared" ref="B131:B194" si="17">AB131&amp;"-"&amp;AH131&amp;"-"&amp;C131</f>
        <v>08-181-181G</v>
      </c>
      <c r="C131" t="s">
        <v>131</v>
      </c>
      <c r="D131" t="s">
        <v>76</v>
      </c>
      <c r="E131">
        <v>21</v>
      </c>
      <c r="F131">
        <v>50</v>
      </c>
      <c r="G131" t="s">
        <v>42</v>
      </c>
      <c r="H131">
        <v>2965301.4255249398</v>
      </c>
      <c r="I131" t="str">
        <f>"2290564.06233595"</f>
        <v>2290564.06233595</v>
      </c>
      <c r="J131">
        <v>31.051186380000001</v>
      </c>
      <c r="K131" t="str">
        <f>"-102.27073653"</f>
        <v>-102.27073653</v>
      </c>
      <c r="L131" t="s">
        <v>65</v>
      </c>
      <c r="Q131">
        <v>5360</v>
      </c>
      <c r="R131" t="s">
        <v>44</v>
      </c>
      <c r="AA131" t="s">
        <v>45</v>
      </c>
      <c r="AB131" t="str">
        <f t="shared" si="15"/>
        <v>08</v>
      </c>
      <c r="AC131">
        <v>21736</v>
      </c>
      <c r="AD131">
        <v>617544</v>
      </c>
      <c r="AE131" t="s">
        <v>55</v>
      </c>
      <c r="AF131" t="s">
        <v>66</v>
      </c>
      <c r="AG131" t="s">
        <v>56</v>
      </c>
      <c r="AH131">
        <v>181</v>
      </c>
      <c r="AI131" s="7" t="str">
        <f t="shared" si="16"/>
        <v>10502605_08_181_181G</v>
      </c>
      <c r="AJ131" t="s">
        <v>51</v>
      </c>
      <c r="AK131" t="s">
        <v>52</v>
      </c>
    </row>
    <row r="132" spans="1:37" x14ac:dyDescent="0.35">
      <c r="A132" s="3">
        <v>10502605</v>
      </c>
      <c r="B132" s="3" t="str">
        <f t="shared" si="17"/>
        <v>08- 181G -181G</v>
      </c>
      <c r="C132" t="s">
        <v>131</v>
      </c>
      <c r="D132" t="s">
        <v>76</v>
      </c>
      <c r="E132">
        <v>21</v>
      </c>
      <c r="F132">
        <v>50</v>
      </c>
      <c r="G132" t="s">
        <v>42</v>
      </c>
      <c r="H132">
        <v>2965301.4255249398</v>
      </c>
      <c r="I132" t="str">
        <f>"2290564.06233595"</f>
        <v>2290564.06233595</v>
      </c>
      <c r="J132">
        <v>31.051186380000001</v>
      </c>
      <c r="K132" t="str">
        <f>"-102.27073653"</f>
        <v>-102.27073653</v>
      </c>
      <c r="L132" t="s">
        <v>65</v>
      </c>
      <c r="Q132">
        <v>5360</v>
      </c>
      <c r="R132" t="s">
        <v>44</v>
      </c>
      <c r="AA132" t="s">
        <v>45</v>
      </c>
      <c r="AB132" t="str">
        <f t="shared" si="15"/>
        <v>08</v>
      </c>
      <c r="AC132">
        <v>21736</v>
      </c>
      <c r="AD132">
        <v>617544</v>
      </c>
      <c r="AE132" t="s">
        <v>55</v>
      </c>
      <c r="AF132" t="s">
        <v>66</v>
      </c>
      <c r="AG132" t="s">
        <v>56</v>
      </c>
      <c r="AH132" t="s">
        <v>132</v>
      </c>
      <c r="AI132" s="7" t="str">
        <f t="shared" si="16"/>
        <v>10502605_08_ 181G _181G</v>
      </c>
      <c r="AJ132" t="s">
        <v>86</v>
      </c>
      <c r="AK132" t="s">
        <v>73</v>
      </c>
    </row>
    <row r="133" spans="1:37" x14ac:dyDescent="0.35">
      <c r="A133" s="3">
        <v>10502606</v>
      </c>
      <c r="B133" s="3" t="str">
        <f t="shared" si="17"/>
        <v>7C-   3 T-182</v>
      </c>
      <c r="C133">
        <v>182</v>
      </c>
      <c r="D133" t="s">
        <v>63</v>
      </c>
      <c r="E133">
        <v>4</v>
      </c>
      <c r="F133">
        <v>50</v>
      </c>
      <c r="G133" t="s">
        <v>42</v>
      </c>
      <c r="H133">
        <v>31.053576809999999</v>
      </c>
      <c r="I133" t="str">
        <f>"-102.26779555"</f>
        <v>-102.26779555</v>
      </c>
      <c r="J133">
        <v>31.053727110000001</v>
      </c>
      <c r="K133" t="str">
        <f>"-102.26821053"</f>
        <v>-102.26821053</v>
      </c>
      <c r="L133" t="s">
        <v>65</v>
      </c>
      <c r="Q133">
        <v>5377</v>
      </c>
      <c r="R133" t="s">
        <v>44</v>
      </c>
      <c r="AA133" t="s">
        <v>45</v>
      </c>
      <c r="AB133" t="s">
        <v>46</v>
      </c>
      <c r="AC133" t="str">
        <f>"03839"</f>
        <v>03839</v>
      </c>
      <c r="AD133">
        <v>773840</v>
      </c>
      <c r="AE133" t="s">
        <v>79</v>
      </c>
      <c r="AF133" t="s">
        <v>128</v>
      </c>
      <c r="AG133" t="s">
        <v>49</v>
      </c>
      <c r="AH133" t="s">
        <v>70</v>
      </c>
      <c r="AI133" s="7" t="str">
        <f t="shared" si="16"/>
        <v>10502606_7C_   3 T_182</v>
      </c>
      <c r="AJ133" t="s">
        <v>51</v>
      </c>
      <c r="AK133" t="s">
        <v>52</v>
      </c>
    </row>
    <row r="134" spans="1:37" x14ac:dyDescent="0.35">
      <c r="A134" s="3">
        <v>10502606</v>
      </c>
      <c r="B134" s="3" t="str">
        <f t="shared" si="17"/>
        <v>7C-   3 C-182</v>
      </c>
      <c r="C134">
        <v>182</v>
      </c>
      <c r="D134" t="s">
        <v>63</v>
      </c>
      <c r="E134">
        <v>4</v>
      </c>
      <c r="F134">
        <v>50</v>
      </c>
      <c r="G134" t="s">
        <v>42</v>
      </c>
      <c r="H134">
        <v>31.053576809999999</v>
      </c>
      <c r="I134" t="str">
        <f>"-102.26779555"</f>
        <v>-102.26779555</v>
      </c>
      <c r="J134">
        <v>31.053727110000001</v>
      </c>
      <c r="K134" t="str">
        <f>"-102.26821053"</f>
        <v>-102.26821053</v>
      </c>
      <c r="L134" t="s">
        <v>65</v>
      </c>
      <c r="Q134">
        <v>5377</v>
      </c>
      <c r="R134" t="s">
        <v>44</v>
      </c>
      <c r="AA134" t="s">
        <v>45</v>
      </c>
      <c r="AB134" t="s">
        <v>46</v>
      </c>
      <c r="AC134" t="str">
        <f>"03840"</f>
        <v>03840</v>
      </c>
      <c r="AD134">
        <v>773840</v>
      </c>
      <c r="AE134" t="s">
        <v>79</v>
      </c>
      <c r="AF134" t="s">
        <v>128</v>
      </c>
      <c r="AG134" t="s">
        <v>53</v>
      </c>
      <c r="AH134" t="s">
        <v>71</v>
      </c>
      <c r="AI134" s="7" t="str">
        <f t="shared" si="16"/>
        <v>10502606_7C_   3 C_182</v>
      </c>
      <c r="AJ134" t="s">
        <v>51</v>
      </c>
      <c r="AK134" t="s">
        <v>52</v>
      </c>
    </row>
    <row r="135" spans="1:37" x14ac:dyDescent="0.35">
      <c r="A135" s="3">
        <v>10502606</v>
      </c>
      <c r="B135" s="3" t="str">
        <f t="shared" si="17"/>
        <v>08-182-182</v>
      </c>
      <c r="C135">
        <v>182</v>
      </c>
      <c r="D135" t="s">
        <v>63</v>
      </c>
      <c r="E135">
        <v>4</v>
      </c>
      <c r="F135">
        <v>50</v>
      </c>
      <c r="G135" t="s">
        <v>42</v>
      </c>
      <c r="H135">
        <v>31.053576809999999</v>
      </c>
      <c r="I135" t="str">
        <f>"-102.26779555"</f>
        <v>-102.26779555</v>
      </c>
      <c r="J135">
        <v>31.053727110000001</v>
      </c>
      <c r="K135" t="str">
        <f>"-102.26821053"</f>
        <v>-102.26821053</v>
      </c>
      <c r="L135" t="s">
        <v>65</v>
      </c>
      <c r="Q135">
        <v>5377</v>
      </c>
      <c r="R135" t="s">
        <v>44</v>
      </c>
      <c r="AA135" t="s">
        <v>45</v>
      </c>
      <c r="AB135" t="str">
        <f>"08"</f>
        <v>08</v>
      </c>
      <c r="AC135">
        <v>21736</v>
      </c>
      <c r="AD135">
        <v>617544</v>
      </c>
      <c r="AE135" t="s">
        <v>55</v>
      </c>
      <c r="AF135" t="s">
        <v>66</v>
      </c>
      <c r="AG135" t="s">
        <v>56</v>
      </c>
      <c r="AH135">
        <v>182</v>
      </c>
      <c r="AI135" s="7" t="str">
        <f t="shared" si="16"/>
        <v>10502606_08_182_182</v>
      </c>
      <c r="AJ135" t="s">
        <v>72</v>
      </c>
      <c r="AK135" t="s">
        <v>73</v>
      </c>
    </row>
    <row r="136" spans="1:37" x14ac:dyDescent="0.35">
      <c r="A136" s="3">
        <v>10502606</v>
      </c>
      <c r="B136" s="3" t="str">
        <f t="shared" si="17"/>
        <v>08- 182 U-182</v>
      </c>
      <c r="C136">
        <v>182</v>
      </c>
      <c r="D136" t="s">
        <v>63</v>
      </c>
      <c r="E136">
        <v>4</v>
      </c>
      <c r="F136">
        <v>50</v>
      </c>
      <c r="G136" t="s">
        <v>42</v>
      </c>
      <c r="H136">
        <v>31.053576809999999</v>
      </c>
      <c r="I136" t="str">
        <f>"-102.26779555"</f>
        <v>-102.26779555</v>
      </c>
      <c r="J136">
        <v>31.053727110000001</v>
      </c>
      <c r="K136" t="str">
        <f>"-102.26821053"</f>
        <v>-102.26821053</v>
      </c>
      <c r="L136" t="s">
        <v>65</v>
      </c>
      <c r="Q136">
        <v>5377</v>
      </c>
      <c r="R136" t="s">
        <v>44</v>
      </c>
      <c r="AA136" t="s">
        <v>45</v>
      </c>
      <c r="AB136" t="str">
        <f>"08"</f>
        <v>08</v>
      </c>
      <c r="AC136">
        <v>21736</v>
      </c>
      <c r="AD136">
        <v>617544</v>
      </c>
      <c r="AE136" t="s">
        <v>55</v>
      </c>
      <c r="AF136" t="s">
        <v>66</v>
      </c>
      <c r="AG136" t="s">
        <v>56</v>
      </c>
      <c r="AH136" t="s">
        <v>133</v>
      </c>
      <c r="AI136" s="7" t="str">
        <f t="shared" si="16"/>
        <v>10502606_08_ 182 U_182</v>
      </c>
      <c r="AJ136" t="s">
        <v>51</v>
      </c>
      <c r="AK136" t="s">
        <v>52</v>
      </c>
    </row>
    <row r="137" spans="1:37" x14ac:dyDescent="0.35">
      <c r="A137" s="3">
        <v>10502607</v>
      </c>
      <c r="B137" s="3" t="str">
        <f t="shared" si="17"/>
        <v>7C-   4 T-183G</v>
      </c>
      <c r="C137" t="s">
        <v>134</v>
      </c>
      <c r="D137" t="s">
        <v>76</v>
      </c>
      <c r="E137">
        <v>21</v>
      </c>
      <c r="F137">
        <v>50</v>
      </c>
      <c r="G137" t="s">
        <v>42</v>
      </c>
      <c r="H137">
        <v>31.056240809999998</v>
      </c>
      <c r="I137" t="str">
        <f>"-102.26513672"</f>
        <v>-102.26513672</v>
      </c>
      <c r="J137">
        <v>31.056391040000001</v>
      </c>
      <c r="K137" t="str">
        <f>"-102.2655516"</f>
        <v>-102.2655516</v>
      </c>
      <c r="L137" t="s">
        <v>65</v>
      </c>
      <c r="Q137">
        <v>5401</v>
      </c>
      <c r="R137" t="s">
        <v>44</v>
      </c>
      <c r="AA137" t="s">
        <v>45</v>
      </c>
      <c r="AB137" t="s">
        <v>46</v>
      </c>
      <c r="AC137" t="str">
        <f>"03839"</f>
        <v>03839</v>
      </c>
      <c r="AD137">
        <v>773840</v>
      </c>
      <c r="AE137" t="s">
        <v>79</v>
      </c>
      <c r="AF137" t="s">
        <v>128</v>
      </c>
      <c r="AG137" t="s">
        <v>49</v>
      </c>
      <c r="AH137" t="s">
        <v>93</v>
      </c>
      <c r="AI137" s="7" t="str">
        <f t="shared" si="16"/>
        <v>10502607_7C_   4 T_183G</v>
      </c>
      <c r="AJ137" t="s">
        <v>51</v>
      </c>
      <c r="AK137" t="s">
        <v>52</v>
      </c>
    </row>
    <row r="138" spans="1:37" x14ac:dyDescent="0.35">
      <c r="A138" s="3">
        <v>10502607</v>
      </c>
      <c r="B138" s="3" t="str">
        <f t="shared" si="17"/>
        <v>7C-   4 C-183G</v>
      </c>
      <c r="C138" t="s">
        <v>134</v>
      </c>
      <c r="D138" t="s">
        <v>76</v>
      </c>
      <c r="E138">
        <v>21</v>
      </c>
      <c r="F138">
        <v>50</v>
      </c>
      <c r="G138" t="s">
        <v>42</v>
      </c>
      <c r="H138">
        <v>31.056240809999998</v>
      </c>
      <c r="I138" t="str">
        <f>"-102.26513672"</f>
        <v>-102.26513672</v>
      </c>
      <c r="J138">
        <v>31.056391040000001</v>
      </c>
      <c r="K138" t="str">
        <f>"-102.2655516"</f>
        <v>-102.2655516</v>
      </c>
      <c r="L138" t="s">
        <v>65</v>
      </c>
      <c r="Q138">
        <v>5401</v>
      </c>
      <c r="R138" t="s">
        <v>44</v>
      </c>
      <c r="AA138" t="s">
        <v>45</v>
      </c>
      <c r="AB138" t="s">
        <v>46</v>
      </c>
      <c r="AC138" t="str">
        <f>"03840"</f>
        <v>03840</v>
      </c>
      <c r="AD138">
        <v>773840</v>
      </c>
      <c r="AE138" t="s">
        <v>79</v>
      </c>
      <c r="AF138" t="s">
        <v>128</v>
      </c>
      <c r="AG138" t="s">
        <v>53</v>
      </c>
      <c r="AH138" t="s">
        <v>94</v>
      </c>
      <c r="AI138" s="7" t="str">
        <f t="shared" si="16"/>
        <v>10502607_7C_   4 C_183G</v>
      </c>
      <c r="AJ138" t="s">
        <v>51</v>
      </c>
      <c r="AK138" t="s">
        <v>52</v>
      </c>
    </row>
    <row r="139" spans="1:37" x14ac:dyDescent="0.35">
      <c r="A139" s="3">
        <v>10502607</v>
      </c>
      <c r="B139" s="3" t="str">
        <f t="shared" si="17"/>
        <v>08-183-183G</v>
      </c>
      <c r="C139" t="s">
        <v>134</v>
      </c>
      <c r="D139" t="s">
        <v>76</v>
      </c>
      <c r="E139">
        <v>21</v>
      </c>
      <c r="F139">
        <v>50</v>
      </c>
      <c r="G139" t="s">
        <v>42</v>
      </c>
      <c r="H139">
        <v>31.056240809999998</v>
      </c>
      <c r="I139" t="str">
        <f>"-102.26513672"</f>
        <v>-102.26513672</v>
      </c>
      <c r="J139">
        <v>31.056391040000001</v>
      </c>
      <c r="K139" t="str">
        <f>"-102.2655516"</f>
        <v>-102.2655516</v>
      </c>
      <c r="L139" t="s">
        <v>65</v>
      </c>
      <c r="Q139">
        <v>5401</v>
      </c>
      <c r="R139" t="s">
        <v>44</v>
      </c>
      <c r="AA139" t="s">
        <v>45</v>
      </c>
      <c r="AB139" t="str">
        <f>"08"</f>
        <v>08</v>
      </c>
      <c r="AC139">
        <v>21736</v>
      </c>
      <c r="AD139">
        <v>617544</v>
      </c>
      <c r="AE139" t="s">
        <v>55</v>
      </c>
      <c r="AF139" t="s">
        <v>66</v>
      </c>
      <c r="AG139" t="s">
        <v>56</v>
      </c>
      <c r="AH139">
        <v>183</v>
      </c>
      <c r="AI139" s="7" t="str">
        <f t="shared" si="16"/>
        <v>10502607_08_183_183G</v>
      </c>
      <c r="AJ139" t="s">
        <v>51</v>
      </c>
      <c r="AK139" t="s">
        <v>52</v>
      </c>
    </row>
    <row r="140" spans="1:37" x14ac:dyDescent="0.35">
      <c r="A140" s="3">
        <v>10502607</v>
      </c>
      <c r="B140" s="3" t="str">
        <f t="shared" si="17"/>
        <v>08- 183 U-183G</v>
      </c>
      <c r="C140" t="s">
        <v>134</v>
      </c>
      <c r="D140" t="s">
        <v>76</v>
      </c>
      <c r="E140">
        <v>21</v>
      </c>
      <c r="F140">
        <v>50</v>
      </c>
      <c r="G140" t="s">
        <v>42</v>
      </c>
      <c r="H140">
        <v>31.056240809999998</v>
      </c>
      <c r="I140" t="str">
        <f>"-102.26513672"</f>
        <v>-102.26513672</v>
      </c>
      <c r="J140">
        <v>31.056391040000001</v>
      </c>
      <c r="K140" t="str">
        <f>"-102.2655516"</f>
        <v>-102.2655516</v>
      </c>
      <c r="L140" t="s">
        <v>65</v>
      </c>
      <c r="Q140">
        <v>5401</v>
      </c>
      <c r="R140" t="s">
        <v>44</v>
      </c>
      <c r="AA140" t="s">
        <v>45</v>
      </c>
      <c r="AB140" t="str">
        <f>"08"</f>
        <v>08</v>
      </c>
      <c r="AC140">
        <v>21736</v>
      </c>
      <c r="AD140">
        <v>617544</v>
      </c>
      <c r="AE140" t="s">
        <v>55</v>
      </c>
      <c r="AF140" t="s">
        <v>66</v>
      </c>
      <c r="AG140" t="s">
        <v>56</v>
      </c>
      <c r="AH140" t="s">
        <v>135</v>
      </c>
      <c r="AI140" s="7" t="str">
        <f t="shared" si="16"/>
        <v>10502607_08_ 183 U_183G</v>
      </c>
      <c r="AJ140" t="s">
        <v>51</v>
      </c>
      <c r="AK140" t="s">
        <v>52</v>
      </c>
    </row>
    <row r="141" spans="1:37" x14ac:dyDescent="0.35">
      <c r="A141" s="3">
        <v>10502607</v>
      </c>
      <c r="B141" s="3" t="str">
        <f t="shared" si="17"/>
        <v>08- 183G -183G</v>
      </c>
      <c r="C141" t="s">
        <v>134</v>
      </c>
      <c r="D141" t="s">
        <v>76</v>
      </c>
      <c r="E141">
        <v>21</v>
      </c>
      <c r="F141">
        <v>50</v>
      </c>
      <c r="G141" t="s">
        <v>42</v>
      </c>
      <c r="H141">
        <v>31.056240809999998</v>
      </c>
      <c r="I141" t="str">
        <f>"-102.26513672"</f>
        <v>-102.26513672</v>
      </c>
      <c r="J141">
        <v>31.056391040000001</v>
      </c>
      <c r="K141" t="str">
        <f>"-102.2655516"</f>
        <v>-102.2655516</v>
      </c>
      <c r="L141" t="s">
        <v>65</v>
      </c>
      <c r="Q141">
        <v>5401</v>
      </c>
      <c r="R141" t="s">
        <v>44</v>
      </c>
      <c r="AA141" t="s">
        <v>45</v>
      </c>
      <c r="AB141" t="str">
        <f>"08"</f>
        <v>08</v>
      </c>
      <c r="AC141">
        <v>21736</v>
      </c>
      <c r="AD141">
        <v>617544</v>
      </c>
      <c r="AE141" t="s">
        <v>55</v>
      </c>
      <c r="AF141" t="s">
        <v>66</v>
      </c>
      <c r="AG141" t="s">
        <v>56</v>
      </c>
      <c r="AH141" t="s">
        <v>136</v>
      </c>
      <c r="AI141" s="7" t="str">
        <f t="shared" si="16"/>
        <v>10502607_08_ 183G _183G</v>
      </c>
      <c r="AJ141" t="s">
        <v>86</v>
      </c>
      <c r="AK141" t="s">
        <v>73</v>
      </c>
    </row>
    <row r="142" spans="1:37" x14ac:dyDescent="0.35">
      <c r="A142" s="3">
        <v>10502608</v>
      </c>
      <c r="B142" s="3" t="str">
        <f t="shared" si="17"/>
        <v>7C-   2 T-189</v>
      </c>
      <c r="C142">
        <v>189</v>
      </c>
      <c r="D142" t="s">
        <v>63</v>
      </c>
      <c r="E142">
        <v>4</v>
      </c>
      <c r="F142">
        <v>50</v>
      </c>
      <c r="G142" t="s">
        <v>42</v>
      </c>
      <c r="H142">
        <v>31.04923544</v>
      </c>
      <c r="I142" t="str">
        <f t="shared" ref="I142:I147" si="18">"-102.26630672"</f>
        <v>-102.26630672</v>
      </c>
      <c r="J142">
        <v>31.04938585</v>
      </c>
      <c r="K142" t="str">
        <f t="shared" ref="K142:K147" si="19">"-102.26672152"</f>
        <v>-102.26672152</v>
      </c>
      <c r="L142" t="s">
        <v>65</v>
      </c>
      <c r="Q142">
        <v>5412</v>
      </c>
      <c r="R142" t="s">
        <v>44</v>
      </c>
      <c r="AA142" t="s">
        <v>45</v>
      </c>
      <c r="AB142" t="s">
        <v>46</v>
      </c>
      <c r="AC142" t="str">
        <f>"03787"</f>
        <v>03787</v>
      </c>
      <c r="AD142">
        <v>773840</v>
      </c>
      <c r="AE142" t="s">
        <v>79</v>
      </c>
      <c r="AF142" t="s">
        <v>80</v>
      </c>
      <c r="AG142" t="s">
        <v>49</v>
      </c>
      <c r="AH142" t="s">
        <v>59</v>
      </c>
      <c r="AI142" s="7" t="str">
        <f t="shared" si="16"/>
        <v>10502608_7C_   2 T_189</v>
      </c>
      <c r="AJ142" t="s">
        <v>51</v>
      </c>
      <c r="AK142" t="s">
        <v>52</v>
      </c>
    </row>
    <row r="143" spans="1:37" x14ac:dyDescent="0.35">
      <c r="A143" s="3">
        <v>10502608</v>
      </c>
      <c r="B143" s="3" t="str">
        <f t="shared" si="17"/>
        <v>7C-   2 C-189</v>
      </c>
      <c r="C143">
        <v>189</v>
      </c>
      <c r="D143" t="s">
        <v>63</v>
      </c>
      <c r="E143">
        <v>4</v>
      </c>
      <c r="F143">
        <v>50</v>
      </c>
      <c r="G143" t="s">
        <v>42</v>
      </c>
      <c r="H143">
        <v>31.04923544</v>
      </c>
      <c r="I143" t="str">
        <f t="shared" si="18"/>
        <v>-102.26630672</v>
      </c>
      <c r="J143">
        <v>31.04938585</v>
      </c>
      <c r="K143" t="str">
        <f t="shared" si="19"/>
        <v>-102.26672152</v>
      </c>
      <c r="L143" t="s">
        <v>65</v>
      </c>
      <c r="Q143">
        <v>5412</v>
      </c>
      <c r="R143" t="s">
        <v>44</v>
      </c>
      <c r="AA143" t="s">
        <v>45</v>
      </c>
      <c r="AB143" t="s">
        <v>46</v>
      </c>
      <c r="AC143" t="str">
        <f>"03790"</f>
        <v>03790</v>
      </c>
      <c r="AD143">
        <v>773840</v>
      </c>
      <c r="AE143" t="s">
        <v>79</v>
      </c>
      <c r="AG143" t="s">
        <v>53</v>
      </c>
      <c r="AH143" t="s">
        <v>88</v>
      </c>
      <c r="AI143" s="7" t="str">
        <f t="shared" si="16"/>
        <v>10502608_7C_   2 C_189</v>
      </c>
      <c r="AJ143" t="s">
        <v>51</v>
      </c>
      <c r="AK143" t="s">
        <v>52</v>
      </c>
    </row>
    <row r="144" spans="1:37" x14ac:dyDescent="0.35">
      <c r="A144" s="3">
        <v>10502608</v>
      </c>
      <c r="B144" s="3" t="str">
        <f t="shared" si="17"/>
        <v>08-189-189</v>
      </c>
      <c r="C144">
        <v>189</v>
      </c>
      <c r="D144" t="s">
        <v>63</v>
      </c>
      <c r="E144">
        <v>4</v>
      </c>
      <c r="F144">
        <v>50</v>
      </c>
      <c r="G144" t="s">
        <v>42</v>
      </c>
      <c r="H144">
        <v>31.04923544</v>
      </c>
      <c r="I144" t="str">
        <f t="shared" si="18"/>
        <v>-102.26630672</v>
      </c>
      <c r="J144">
        <v>31.04938585</v>
      </c>
      <c r="K144" t="str">
        <f t="shared" si="19"/>
        <v>-102.26672152</v>
      </c>
      <c r="L144" t="s">
        <v>65</v>
      </c>
      <c r="Q144">
        <v>5412</v>
      </c>
      <c r="R144" t="s">
        <v>44</v>
      </c>
      <c r="AA144" t="s">
        <v>45</v>
      </c>
      <c r="AB144" t="str">
        <f>"08"</f>
        <v>08</v>
      </c>
      <c r="AC144">
        <v>21736</v>
      </c>
      <c r="AD144">
        <v>617544</v>
      </c>
      <c r="AE144" t="s">
        <v>55</v>
      </c>
      <c r="AF144" t="s">
        <v>66</v>
      </c>
      <c r="AG144" t="s">
        <v>56</v>
      </c>
      <c r="AH144">
        <v>189</v>
      </c>
      <c r="AI144" s="7" t="str">
        <f t="shared" si="16"/>
        <v>10502608_08_189_189</v>
      </c>
      <c r="AJ144" t="s">
        <v>72</v>
      </c>
      <c r="AK144" t="s">
        <v>73</v>
      </c>
    </row>
    <row r="145" spans="1:41" x14ac:dyDescent="0.35">
      <c r="A145" s="3">
        <v>10502608</v>
      </c>
      <c r="B145" s="3" t="str">
        <f t="shared" si="17"/>
        <v>08- 189 U-189</v>
      </c>
      <c r="C145">
        <v>189</v>
      </c>
      <c r="D145" t="s">
        <v>63</v>
      </c>
      <c r="E145">
        <v>4</v>
      </c>
      <c r="F145">
        <v>50</v>
      </c>
      <c r="G145" t="s">
        <v>42</v>
      </c>
      <c r="H145">
        <v>31.04923544</v>
      </c>
      <c r="I145" t="str">
        <f t="shared" si="18"/>
        <v>-102.26630672</v>
      </c>
      <c r="J145">
        <v>31.04938585</v>
      </c>
      <c r="K145" t="str">
        <f t="shared" si="19"/>
        <v>-102.26672152</v>
      </c>
      <c r="L145" t="s">
        <v>65</v>
      </c>
      <c r="Q145">
        <v>5412</v>
      </c>
      <c r="R145" t="s">
        <v>44</v>
      </c>
      <c r="AA145" t="s">
        <v>45</v>
      </c>
      <c r="AB145" t="str">
        <f>"08"</f>
        <v>08</v>
      </c>
      <c r="AC145">
        <v>21736</v>
      </c>
      <c r="AD145">
        <v>617544</v>
      </c>
      <c r="AE145" t="s">
        <v>55</v>
      </c>
      <c r="AF145" t="s">
        <v>66</v>
      </c>
      <c r="AG145" t="s">
        <v>56</v>
      </c>
      <c r="AH145" t="s">
        <v>137</v>
      </c>
      <c r="AI145" s="7" t="str">
        <f t="shared" si="16"/>
        <v>10502608_08_ 189 U_189</v>
      </c>
      <c r="AJ145" t="s">
        <v>51</v>
      </c>
      <c r="AK145" t="s">
        <v>52</v>
      </c>
    </row>
    <row r="146" spans="1:41" x14ac:dyDescent="0.35">
      <c r="A146" s="3">
        <v>10502608</v>
      </c>
      <c r="B146" s="3" t="str">
        <f t="shared" si="17"/>
        <v>08-189-189</v>
      </c>
      <c r="C146">
        <v>189</v>
      </c>
      <c r="D146" t="s">
        <v>63</v>
      </c>
      <c r="E146">
        <v>4</v>
      </c>
      <c r="F146">
        <v>50</v>
      </c>
      <c r="G146" t="s">
        <v>42</v>
      </c>
      <c r="H146">
        <v>31.04923544</v>
      </c>
      <c r="I146" t="str">
        <f t="shared" si="18"/>
        <v>-102.26630672</v>
      </c>
      <c r="J146">
        <v>31.04938585</v>
      </c>
      <c r="K146" t="str">
        <f t="shared" si="19"/>
        <v>-102.26672152</v>
      </c>
      <c r="L146" t="s">
        <v>65</v>
      </c>
      <c r="Q146">
        <v>5412</v>
      </c>
      <c r="R146" t="s">
        <v>44</v>
      </c>
      <c r="AA146" t="s">
        <v>45</v>
      </c>
      <c r="AB146" t="str">
        <f>"08"</f>
        <v>08</v>
      </c>
      <c r="AC146">
        <v>21737</v>
      </c>
      <c r="AD146">
        <v>773840</v>
      </c>
      <c r="AE146" t="s">
        <v>79</v>
      </c>
      <c r="AF146" t="s">
        <v>66</v>
      </c>
      <c r="AG146" t="s">
        <v>58</v>
      </c>
      <c r="AH146">
        <v>189</v>
      </c>
      <c r="AI146" s="7" t="str">
        <f t="shared" si="16"/>
        <v>10502608_08_189_189</v>
      </c>
      <c r="AJ146" t="s">
        <v>51</v>
      </c>
      <c r="AK146" t="s">
        <v>52</v>
      </c>
    </row>
    <row r="147" spans="1:41" x14ac:dyDescent="0.35">
      <c r="A147" s="3">
        <v>10502608</v>
      </c>
      <c r="B147" s="3" t="str">
        <f t="shared" si="17"/>
        <v>08- 189 L-189</v>
      </c>
      <c r="C147">
        <v>189</v>
      </c>
      <c r="D147" t="s">
        <v>63</v>
      </c>
      <c r="E147">
        <v>4</v>
      </c>
      <c r="F147">
        <v>50</v>
      </c>
      <c r="G147" t="s">
        <v>42</v>
      </c>
      <c r="H147">
        <v>31.04923544</v>
      </c>
      <c r="I147" t="str">
        <f t="shared" si="18"/>
        <v>-102.26630672</v>
      </c>
      <c r="J147">
        <v>31.04938585</v>
      </c>
      <c r="K147" t="str">
        <f t="shared" si="19"/>
        <v>-102.26672152</v>
      </c>
      <c r="L147" t="s">
        <v>65</v>
      </c>
      <c r="Q147">
        <v>5412</v>
      </c>
      <c r="R147" t="s">
        <v>44</v>
      </c>
      <c r="AA147" t="s">
        <v>45</v>
      </c>
      <c r="AB147" t="str">
        <f>"08"</f>
        <v>08</v>
      </c>
      <c r="AC147">
        <v>21737</v>
      </c>
      <c r="AD147">
        <v>773840</v>
      </c>
      <c r="AE147" t="s">
        <v>79</v>
      </c>
      <c r="AF147" t="s">
        <v>66</v>
      </c>
      <c r="AG147" t="s">
        <v>58</v>
      </c>
      <c r="AH147" t="s">
        <v>138</v>
      </c>
      <c r="AI147" s="7" t="str">
        <f t="shared" si="16"/>
        <v>10502608_08_ 189 L_189</v>
      </c>
      <c r="AJ147" t="s">
        <v>51</v>
      </c>
      <c r="AK147" t="s">
        <v>52</v>
      </c>
    </row>
    <row r="148" spans="1:41" x14ac:dyDescent="0.35">
      <c r="A148" s="3">
        <v>10502609</v>
      </c>
      <c r="B148" s="3" t="str">
        <f t="shared" si="17"/>
        <v>7C-3-190</v>
      </c>
      <c r="C148">
        <v>190</v>
      </c>
      <c r="D148" t="s">
        <v>63</v>
      </c>
      <c r="E148">
        <v>4</v>
      </c>
      <c r="F148">
        <v>50</v>
      </c>
      <c r="G148" t="s">
        <v>42</v>
      </c>
      <c r="H148">
        <v>31.051783520000001</v>
      </c>
      <c r="I148" t="str">
        <f>"-102.26395632"</f>
        <v>-102.26395632</v>
      </c>
      <c r="J148">
        <v>31.051933890000001</v>
      </c>
      <c r="K148" t="str">
        <f>"-102.26437109"</f>
        <v>-102.26437109</v>
      </c>
      <c r="L148" t="s">
        <v>65</v>
      </c>
      <c r="Q148">
        <v>5436</v>
      </c>
      <c r="R148" t="s">
        <v>44</v>
      </c>
      <c r="AA148" t="s">
        <v>45</v>
      </c>
      <c r="AB148" t="s">
        <v>46</v>
      </c>
      <c r="AC148" t="str">
        <f>"03787"</f>
        <v>03787</v>
      </c>
      <c r="AD148">
        <v>773840</v>
      </c>
      <c r="AE148" t="s">
        <v>79</v>
      </c>
      <c r="AF148" t="s">
        <v>80</v>
      </c>
      <c r="AG148" t="s">
        <v>49</v>
      </c>
      <c r="AH148">
        <v>3</v>
      </c>
      <c r="AI148" s="7" t="str">
        <f t="shared" si="16"/>
        <v>10502609_7C_3_190</v>
      </c>
      <c r="AJ148" t="s">
        <v>51</v>
      </c>
      <c r="AK148" t="s">
        <v>52</v>
      </c>
    </row>
    <row r="149" spans="1:41" x14ac:dyDescent="0.35">
      <c r="A149" s="3">
        <v>10502609</v>
      </c>
      <c r="B149" s="3" t="str">
        <f t="shared" si="17"/>
        <v>08-190-190</v>
      </c>
      <c r="C149">
        <v>190</v>
      </c>
      <c r="D149" t="s">
        <v>63</v>
      </c>
      <c r="E149">
        <v>4</v>
      </c>
      <c r="F149">
        <v>50</v>
      </c>
      <c r="G149" t="s">
        <v>42</v>
      </c>
      <c r="H149">
        <v>31.051783520000001</v>
      </c>
      <c r="I149" t="str">
        <f>"-102.26395632"</f>
        <v>-102.26395632</v>
      </c>
      <c r="J149">
        <v>31.051933890000001</v>
      </c>
      <c r="K149" t="str">
        <f>"-102.26437109"</f>
        <v>-102.26437109</v>
      </c>
      <c r="L149" t="s">
        <v>65</v>
      </c>
      <c r="Q149">
        <v>5436</v>
      </c>
      <c r="R149" t="s">
        <v>44</v>
      </c>
      <c r="AA149" t="s">
        <v>45</v>
      </c>
      <c r="AB149" t="str">
        <f>"08"</f>
        <v>08</v>
      </c>
      <c r="AC149">
        <v>21736</v>
      </c>
      <c r="AD149">
        <v>617544</v>
      </c>
      <c r="AE149" t="s">
        <v>55</v>
      </c>
      <c r="AF149" t="s">
        <v>66</v>
      </c>
      <c r="AG149" t="s">
        <v>56</v>
      </c>
      <c r="AH149">
        <v>190</v>
      </c>
      <c r="AI149" s="7" t="str">
        <f t="shared" si="16"/>
        <v>10502609_08_190_190</v>
      </c>
      <c r="AJ149" t="s">
        <v>72</v>
      </c>
      <c r="AK149" t="s">
        <v>73</v>
      </c>
    </row>
    <row r="150" spans="1:41" x14ac:dyDescent="0.35">
      <c r="A150" s="3">
        <v>10502609</v>
      </c>
      <c r="B150" s="3" t="str">
        <f t="shared" si="17"/>
        <v>08- 190 U-190</v>
      </c>
      <c r="C150">
        <v>190</v>
      </c>
      <c r="D150" t="s">
        <v>63</v>
      </c>
      <c r="E150">
        <v>4</v>
      </c>
      <c r="F150">
        <v>50</v>
      </c>
      <c r="G150" t="s">
        <v>42</v>
      </c>
      <c r="H150">
        <v>31.051783520000001</v>
      </c>
      <c r="I150" t="str">
        <f>"-102.26395632"</f>
        <v>-102.26395632</v>
      </c>
      <c r="J150">
        <v>31.051933890000001</v>
      </c>
      <c r="K150" t="str">
        <f>"-102.26437109"</f>
        <v>-102.26437109</v>
      </c>
      <c r="L150" t="s">
        <v>65</v>
      </c>
      <c r="Q150">
        <v>5436</v>
      </c>
      <c r="R150" t="s">
        <v>44</v>
      </c>
      <c r="AA150" t="s">
        <v>45</v>
      </c>
      <c r="AB150" t="str">
        <f>"08"</f>
        <v>08</v>
      </c>
      <c r="AC150">
        <v>21736</v>
      </c>
      <c r="AD150">
        <v>617544</v>
      </c>
      <c r="AE150" t="s">
        <v>55</v>
      </c>
      <c r="AF150" t="s">
        <v>66</v>
      </c>
      <c r="AG150" t="s">
        <v>56</v>
      </c>
      <c r="AH150" t="s">
        <v>139</v>
      </c>
      <c r="AI150" s="7" t="str">
        <f t="shared" si="16"/>
        <v>10502609_08_ 190 U_190</v>
      </c>
      <c r="AJ150" t="s">
        <v>51</v>
      </c>
      <c r="AK150" t="s">
        <v>52</v>
      </c>
    </row>
    <row r="151" spans="1:41" x14ac:dyDescent="0.35">
      <c r="A151" s="3">
        <v>10502609</v>
      </c>
      <c r="B151" s="3" t="str">
        <f t="shared" si="17"/>
        <v>08- 190 L-190</v>
      </c>
      <c r="C151">
        <v>190</v>
      </c>
      <c r="D151" t="s">
        <v>63</v>
      </c>
      <c r="E151">
        <v>4</v>
      </c>
      <c r="F151">
        <v>50</v>
      </c>
      <c r="G151" t="s">
        <v>42</v>
      </c>
      <c r="H151">
        <v>31.051783520000001</v>
      </c>
      <c r="I151" t="str">
        <f>"-102.26395632"</f>
        <v>-102.26395632</v>
      </c>
      <c r="J151">
        <v>31.051933890000001</v>
      </c>
      <c r="K151" t="str">
        <f>"-102.26437109"</f>
        <v>-102.26437109</v>
      </c>
      <c r="L151" t="s">
        <v>65</v>
      </c>
      <c r="Q151">
        <v>5436</v>
      </c>
      <c r="R151" t="s">
        <v>44</v>
      </c>
      <c r="AA151" t="s">
        <v>45</v>
      </c>
      <c r="AB151" t="str">
        <f>"08"</f>
        <v>08</v>
      </c>
      <c r="AC151">
        <v>21737</v>
      </c>
      <c r="AD151">
        <v>773840</v>
      </c>
      <c r="AE151" t="s">
        <v>79</v>
      </c>
      <c r="AF151" t="s">
        <v>66</v>
      </c>
      <c r="AG151" t="s">
        <v>58</v>
      </c>
      <c r="AH151" t="s">
        <v>140</v>
      </c>
      <c r="AI151" s="7" t="str">
        <f t="shared" si="16"/>
        <v>10502609_08_ 190 L_190</v>
      </c>
      <c r="AJ151" t="s">
        <v>51</v>
      </c>
      <c r="AK151" t="s">
        <v>52</v>
      </c>
    </row>
    <row r="152" spans="1:41" x14ac:dyDescent="0.35">
      <c r="A152" s="3">
        <v>10503108</v>
      </c>
      <c r="B152" s="3" t="str">
        <f t="shared" si="17"/>
        <v>08-201-201</v>
      </c>
      <c r="C152">
        <v>201</v>
      </c>
      <c r="D152" t="s">
        <v>41</v>
      </c>
      <c r="E152">
        <v>7</v>
      </c>
      <c r="F152">
        <v>15</v>
      </c>
      <c r="G152" t="s">
        <v>40</v>
      </c>
      <c r="H152">
        <v>31.042617700000001</v>
      </c>
      <c r="I152" t="str">
        <f>"-102.2558773"</f>
        <v>-102.2558773</v>
      </c>
      <c r="J152">
        <v>31.042768420000002</v>
      </c>
      <c r="K152" t="str">
        <f>"-102.25629172"</f>
        <v>-102.25629172</v>
      </c>
      <c r="L152" t="s">
        <v>43</v>
      </c>
      <c r="Q152">
        <v>0</v>
      </c>
      <c r="R152" t="s">
        <v>44</v>
      </c>
      <c r="AA152" t="s">
        <v>45</v>
      </c>
      <c r="AB152" t="str">
        <f>"08"</f>
        <v>08</v>
      </c>
      <c r="AC152">
        <v>21736</v>
      </c>
      <c r="AD152">
        <v>617544</v>
      </c>
      <c r="AE152" t="s">
        <v>55</v>
      </c>
      <c r="AF152" t="s">
        <v>66</v>
      </c>
      <c r="AG152" t="s">
        <v>56</v>
      </c>
      <c r="AH152">
        <v>201</v>
      </c>
      <c r="AI152" s="7" t="str">
        <f t="shared" si="16"/>
        <v>10503108_08_201_201</v>
      </c>
      <c r="AJ152" t="s">
        <v>51</v>
      </c>
      <c r="AK152" t="s">
        <v>52</v>
      </c>
      <c r="AL152" s="1">
        <v>35012</v>
      </c>
      <c r="AM152">
        <v>5654</v>
      </c>
    </row>
    <row r="153" spans="1:41" x14ac:dyDescent="0.35">
      <c r="A153" s="3">
        <v>10503109</v>
      </c>
      <c r="B153" s="3" t="str">
        <f t="shared" si="17"/>
        <v>08-   1D -1D</v>
      </c>
      <c r="C153" t="s">
        <v>141</v>
      </c>
      <c r="D153" t="s">
        <v>142</v>
      </c>
      <c r="E153">
        <v>11</v>
      </c>
      <c r="F153">
        <v>15</v>
      </c>
      <c r="G153" t="s">
        <v>40</v>
      </c>
      <c r="H153">
        <v>2959329.2503280798</v>
      </c>
      <c r="I153" t="str">
        <f>"2306287.62631233"</f>
        <v>2306287.62631233</v>
      </c>
      <c r="J153">
        <v>31.03559753</v>
      </c>
      <c r="K153" t="str">
        <f>"-102.22003546"</f>
        <v>-102.22003546</v>
      </c>
      <c r="L153" t="s">
        <v>65</v>
      </c>
      <c r="Q153">
        <v>5838</v>
      </c>
      <c r="R153" t="s">
        <v>44</v>
      </c>
      <c r="AA153" t="s">
        <v>45</v>
      </c>
      <c r="AB153" t="str">
        <f>"08"</f>
        <v>08</v>
      </c>
      <c r="AC153">
        <v>24683</v>
      </c>
      <c r="AD153">
        <v>252017</v>
      </c>
      <c r="AE153" t="s">
        <v>143</v>
      </c>
      <c r="AF153" t="s">
        <v>144</v>
      </c>
      <c r="AG153" t="s">
        <v>145</v>
      </c>
      <c r="AH153" t="s">
        <v>146</v>
      </c>
      <c r="AI153" s="7" t="str">
        <f t="shared" si="16"/>
        <v>10503109_08_   1D _1D</v>
      </c>
      <c r="AJ153" t="s">
        <v>86</v>
      </c>
      <c r="AK153" t="s">
        <v>73</v>
      </c>
    </row>
    <row r="154" spans="1:41" x14ac:dyDescent="0.35">
      <c r="A154" s="3">
        <v>10503111</v>
      </c>
      <c r="B154" s="3" t="str">
        <f t="shared" si="17"/>
        <v>7C-2-202</v>
      </c>
      <c r="C154">
        <v>202</v>
      </c>
      <c r="D154" t="s">
        <v>41</v>
      </c>
      <c r="E154">
        <v>7</v>
      </c>
      <c r="F154">
        <v>50</v>
      </c>
      <c r="G154" t="s">
        <v>42</v>
      </c>
      <c r="H154">
        <v>31.045244109999999</v>
      </c>
      <c r="I154" t="str">
        <f>"-102.25326627"</f>
        <v>-102.25326627</v>
      </c>
      <c r="J154">
        <v>31.045394760000001</v>
      </c>
      <c r="K154" t="str">
        <f>"-102.25368068"</f>
        <v>-102.25368068</v>
      </c>
      <c r="L154" t="s">
        <v>43</v>
      </c>
      <c r="Q154">
        <v>0</v>
      </c>
      <c r="R154" t="s">
        <v>44</v>
      </c>
      <c r="AA154" t="s">
        <v>45</v>
      </c>
      <c r="AB154" t="s">
        <v>46</v>
      </c>
      <c r="AC154" t="str">
        <f>"03669"</f>
        <v>03669</v>
      </c>
      <c r="AD154">
        <v>844110</v>
      </c>
      <c r="AE154" t="s">
        <v>147</v>
      </c>
      <c r="AF154" t="s">
        <v>148</v>
      </c>
      <c r="AG154" t="s">
        <v>49</v>
      </c>
      <c r="AH154">
        <v>2</v>
      </c>
      <c r="AI154" s="7" t="str">
        <f t="shared" si="16"/>
        <v>10503111_7C_2_202</v>
      </c>
      <c r="AJ154" t="s">
        <v>51</v>
      </c>
      <c r="AK154" t="s">
        <v>52</v>
      </c>
      <c r="AL154" s="1">
        <v>35020</v>
      </c>
      <c r="AM154">
        <v>5680</v>
      </c>
    </row>
    <row r="155" spans="1:41" x14ac:dyDescent="0.35">
      <c r="A155" s="3">
        <v>10503111</v>
      </c>
      <c r="B155" s="3" t="str">
        <f t="shared" si="17"/>
        <v>08-202-202</v>
      </c>
      <c r="C155">
        <v>202</v>
      </c>
      <c r="D155" t="s">
        <v>41</v>
      </c>
      <c r="E155">
        <v>7</v>
      </c>
      <c r="F155">
        <v>50</v>
      </c>
      <c r="G155" t="s">
        <v>42</v>
      </c>
      <c r="H155">
        <v>31.045244109999999</v>
      </c>
      <c r="I155" t="str">
        <f>"-102.25326627"</f>
        <v>-102.25326627</v>
      </c>
      <c r="J155">
        <v>31.045394760000001</v>
      </c>
      <c r="K155" t="str">
        <f>"-102.25368068"</f>
        <v>-102.25368068</v>
      </c>
      <c r="L155" t="s">
        <v>43</v>
      </c>
      <c r="Q155">
        <v>0</v>
      </c>
      <c r="R155" t="s">
        <v>44</v>
      </c>
      <c r="AA155" t="s">
        <v>45</v>
      </c>
      <c r="AB155" t="str">
        <f>"08"</f>
        <v>08</v>
      </c>
      <c r="AC155">
        <v>21736</v>
      </c>
      <c r="AD155">
        <v>617544</v>
      </c>
      <c r="AE155" t="s">
        <v>55</v>
      </c>
      <c r="AF155" t="s">
        <v>66</v>
      </c>
      <c r="AG155" t="s">
        <v>56</v>
      </c>
      <c r="AH155">
        <v>202</v>
      </c>
      <c r="AI155" s="7" t="str">
        <f t="shared" si="16"/>
        <v>10503111_08_202_202</v>
      </c>
      <c r="AJ155" t="s">
        <v>51</v>
      </c>
      <c r="AK155" t="s">
        <v>52</v>
      </c>
      <c r="AL155" s="1">
        <v>35020</v>
      </c>
      <c r="AM155">
        <v>5680</v>
      </c>
    </row>
    <row r="156" spans="1:41" x14ac:dyDescent="0.35">
      <c r="A156" s="3">
        <v>10503112</v>
      </c>
      <c r="B156" s="3" t="str">
        <f t="shared" si="17"/>
        <v>7C-3-200</v>
      </c>
      <c r="C156">
        <v>200</v>
      </c>
      <c r="D156" t="s">
        <v>41</v>
      </c>
      <c r="E156">
        <v>7</v>
      </c>
      <c r="F156">
        <v>50</v>
      </c>
      <c r="G156" t="s">
        <v>42</v>
      </c>
      <c r="H156">
        <v>31.041203190000001</v>
      </c>
      <c r="I156" t="str">
        <f>"-102.25720269"</f>
        <v>-102.25720269</v>
      </c>
      <c r="J156">
        <v>31.041353959999999</v>
      </c>
      <c r="K156" t="str">
        <f>"-102.25761713"</f>
        <v>-102.25761713</v>
      </c>
      <c r="L156" t="s">
        <v>43</v>
      </c>
      <c r="Q156">
        <v>5642</v>
      </c>
      <c r="R156" t="s">
        <v>44</v>
      </c>
      <c r="AA156" t="s">
        <v>45</v>
      </c>
      <c r="AB156" t="s">
        <v>46</v>
      </c>
      <c r="AC156" t="str">
        <f>"03780"</f>
        <v>03780</v>
      </c>
      <c r="AD156">
        <v>844110</v>
      </c>
      <c r="AE156" t="s">
        <v>147</v>
      </c>
      <c r="AF156" t="s">
        <v>148</v>
      </c>
      <c r="AG156" t="s">
        <v>53</v>
      </c>
      <c r="AH156">
        <v>3</v>
      </c>
      <c r="AI156" s="7" t="str">
        <f t="shared" si="16"/>
        <v>10503112_7C_3_200</v>
      </c>
      <c r="AJ156" t="s">
        <v>51</v>
      </c>
      <c r="AK156" t="s">
        <v>52</v>
      </c>
      <c r="AL156" s="1">
        <v>35016</v>
      </c>
      <c r="AM156">
        <v>5642</v>
      </c>
    </row>
    <row r="157" spans="1:41" x14ac:dyDescent="0.35">
      <c r="A157" s="3">
        <v>10503112</v>
      </c>
      <c r="B157" s="3" t="str">
        <f t="shared" si="17"/>
        <v>08-200-200</v>
      </c>
      <c r="C157">
        <v>200</v>
      </c>
      <c r="D157" t="s">
        <v>41</v>
      </c>
      <c r="E157">
        <v>7</v>
      </c>
      <c r="F157">
        <v>50</v>
      </c>
      <c r="G157" t="s">
        <v>42</v>
      </c>
      <c r="H157">
        <v>31.041203190000001</v>
      </c>
      <c r="I157" t="str">
        <f>"-102.25720269"</f>
        <v>-102.25720269</v>
      </c>
      <c r="J157">
        <v>31.041353959999999</v>
      </c>
      <c r="K157" t="str">
        <f>"-102.25761713"</f>
        <v>-102.25761713</v>
      </c>
      <c r="L157" t="s">
        <v>43</v>
      </c>
      <c r="Q157">
        <v>5642</v>
      </c>
      <c r="R157" t="s">
        <v>44</v>
      </c>
      <c r="AA157" t="s">
        <v>45</v>
      </c>
      <c r="AB157" t="str">
        <f>"08"</f>
        <v>08</v>
      </c>
      <c r="AC157">
        <v>21736</v>
      </c>
      <c r="AD157">
        <v>617544</v>
      </c>
      <c r="AE157" t="s">
        <v>55</v>
      </c>
      <c r="AF157" t="s">
        <v>66</v>
      </c>
      <c r="AG157" t="s">
        <v>56</v>
      </c>
      <c r="AH157">
        <v>200</v>
      </c>
      <c r="AI157" s="7" t="str">
        <f t="shared" si="16"/>
        <v>10503112_08_200_200</v>
      </c>
      <c r="AJ157" t="s">
        <v>51</v>
      </c>
      <c r="AK157" t="s">
        <v>52</v>
      </c>
      <c r="AL157" s="1">
        <v>35016</v>
      </c>
      <c r="AM157">
        <v>5642</v>
      </c>
    </row>
    <row r="158" spans="1:41" x14ac:dyDescent="0.35">
      <c r="A158" s="3">
        <v>10503114</v>
      </c>
      <c r="B158" s="3" t="str">
        <f t="shared" si="17"/>
        <v>--203</v>
      </c>
      <c r="C158">
        <v>203</v>
      </c>
      <c r="D158" t="s">
        <v>41</v>
      </c>
      <c r="E158">
        <v>7</v>
      </c>
      <c r="F158">
        <v>15</v>
      </c>
      <c r="G158" t="s">
        <v>40</v>
      </c>
      <c r="H158">
        <v>31.040390200000001</v>
      </c>
      <c r="I158" t="str">
        <f>"-102.2510565"</f>
        <v>-102.2510565</v>
      </c>
      <c r="J158">
        <v>31.040541019999999</v>
      </c>
      <c r="K158" t="str">
        <f>"-102.25147074"</f>
        <v>-102.25147074</v>
      </c>
      <c r="L158" t="s">
        <v>149</v>
      </c>
      <c r="Q158">
        <v>0</v>
      </c>
      <c r="R158" t="s">
        <v>44</v>
      </c>
      <c r="AI158" s="7" t="str">
        <f t="shared" si="16"/>
        <v>10503114___203</v>
      </c>
      <c r="AL158" s="1">
        <v>30577</v>
      </c>
      <c r="AM158">
        <v>5700</v>
      </c>
      <c r="AN158" t="s">
        <v>147</v>
      </c>
      <c r="AO158" t="s">
        <v>150</v>
      </c>
    </row>
    <row r="159" spans="1:41" x14ac:dyDescent="0.35">
      <c r="A159" s="3">
        <v>10503465</v>
      </c>
      <c r="B159" s="3" t="str">
        <f t="shared" si="17"/>
        <v>7C-4-191</v>
      </c>
      <c r="C159">
        <v>191</v>
      </c>
      <c r="D159" t="s">
        <v>41</v>
      </c>
      <c r="E159">
        <v>7</v>
      </c>
      <c r="F159">
        <v>50</v>
      </c>
      <c r="G159" t="s">
        <v>42</v>
      </c>
      <c r="H159">
        <v>31.054306220000001</v>
      </c>
      <c r="I159" t="str">
        <f>"-102.26136195"</f>
        <v>-102.26136195</v>
      </c>
      <c r="J159">
        <v>31.054456519999999</v>
      </c>
      <c r="K159" t="str">
        <f>"-102.26177666"</f>
        <v>-102.26177666</v>
      </c>
      <c r="L159" t="s">
        <v>43</v>
      </c>
      <c r="Q159">
        <v>5529</v>
      </c>
      <c r="R159" t="s">
        <v>44</v>
      </c>
      <c r="AA159" t="s">
        <v>45</v>
      </c>
      <c r="AB159" t="s">
        <v>46</v>
      </c>
      <c r="AC159" t="str">
        <f>"03787"</f>
        <v>03787</v>
      </c>
      <c r="AD159">
        <v>773840</v>
      </c>
      <c r="AE159" t="s">
        <v>79</v>
      </c>
      <c r="AF159" t="s">
        <v>80</v>
      </c>
      <c r="AG159" t="s">
        <v>49</v>
      </c>
      <c r="AH159">
        <v>4</v>
      </c>
      <c r="AI159" s="7" t="str">
        <f t="shared" si="16"/>
        <v>10503465_7C_4_191</v>
      </c>
      <c r="AJ159" t="s">
        <v>51</v>
      </c>
      <c r="AK159" t="s">
        <v>52</v>
      </c>
      <c r="AL159" s="1">
        <v>37427</v>
      </c>
      <c r="AM159">
        <v>5529</v>
      </c>
    </row>
    <row r="160" spans="1:41" x14ac:dyDescent="0.35">
      <c r="A160" s="3">
        <v>10503465</v>
      </c>
      <c r="B160" s="3" t="str">
        <f t="shared" si="17"/>
        <v>08-191-191</v>
      </c>
      <c r="C160">
        <v>191</v>
      </c>
      <c r="D160" t="s">
        <v>41</v>
      </c>
      <c r="E160">
        <v>7</v>
      </c>
      <c r="F160">
        <v>50</v>
      </c>
      <c r="G160" t="s">
        <v>42</v>
      </c>
      <c r="H160">
        <v>31.054306220000001</v>
      </c>
      <c r="I160" t="str">
        <f>"-102.26136195"</f>
        <v>-102.26136195</v>
      </c>
      <c r="J160">
        <v>31.054456519999999</v>
      </c>
      <c r="K160" t="str">
        <f>"-102.26177666"</f>
        <v>-102.26177666</v>
      </c>
      <c r="L160" t="s">
        <v>43</v>
      </c>
      <c r="Q160">
        <v>5529</v>
      </c>
      <c r="R160" t="s">
        <v>44</v>
      </c>
      <c r="AA160" t="s">
        <v>45</v>
      </c>
      <c r="AB160" t="str">
        <f t="shared" ref="AB160:AB183" si="20">"08"</f>
        <v>08</v>
      </c>
      <c r="AC160">
        <v>21736</v>
      </c>
      <c r="AD160">
        <v>617544</v>
      </c>
      <c r="AE160" t="s">
        <v>55</v>
      </c>
      <c r="AF160" t="s">
        <v>66</v>
      </c>
      <c r="AG160" t="s">
        <v>56</v>
      </c>
      <c r="AH160">
        <v>191</v>
      </c>
      <c r="AI160" s="7" t="str">
        <f t="shared" si="16"/>
        <v>10503465_08_191_191</v>
      </c>
      <c r="AJ160" t="s">
        <v>51</v>
      </c>
      <c r="AK160" t="s">
        <v>52</v>
      </c>
      <c r="AL160" s="1">
        <v>37427</v>
      </c>
      <c r="AM160">
        <v>5529</v>
      </c>
    </row>
    <row r="161" spans="1:39" x14ac:dyDescent="0.35">
      <c r="A161" s="3">
        <v>10510147</v>
      </c>
      <c r="B161" s="3" t="str">
        <f t="shared" si="17"/>
        <v>08-9-156</v>
      </c>
      <c r="C161">
        <v>156</v>
      </c>
      <c r="D161" t="s">
        <v>41</v>
      </c>
      <c r="E161">
        <v>7</v>
      </c>
      <c r="F161">
        <v>50</v>
      </c>
      <c r="G161" t="s">
        <v>42</v>
      </c>
      <c r="H161">
        <v>31.061991549999998</v>
      </c>
      <c r="I161" t="str">
        <f>"-102.2748131"</f>
        <v>-102.2748131</v>
      </c>
      <c r="J161">
        <v>31.06214151</v>
      </c>
      <c r="K161" t="str">
        <f>"-102.27522836"</f>
        <v>-102.27522836</v>
      </c>
      <c r="L161" t="s">
        <v>43</v>
      </c>
      <c r="Q161">
        <v>5260</v>
      </c>
      <c r="R161" t="s">
        <v>44</v>
      </c>
      <c r="AA161" t="s">
        <v>45</v>
      </c>
      <c r="AB161" t="str">
        <f t="shared" si="20"/>
        <v>08</v>
      </c>
      <c r="AC161">
        <v>16645</v>
      </c>
      <c r="AD161">
        <v>338130</v>
      </c>
      <c r="AE161" t="s">
        <v>74</v>
      </c>
      <c r="AF161" t="s">
        <v>66</v>
      </c>
      <c r="AG161" t="s">
        <v>58</v>
      </c>
      <c r="AH161">
        <v>9</v>
      </c>
      <c r="AI161" s="7" t="str">
        <f t="shared" si="16"/>
        <v>10510147_08_9_156</v>
      </c>
      <c r="AJ161" t="s">
        <v>51</v>
      </c>
      <c r="AK161" t="s">
        <v>52</v>
      </c>
      <c r="AL161" s="1">
        <v>34508</v>
      </c>
      <c r="AM161">
        <v>5380</v>
      </c>
    </row>
    <row r="162" spans="1:39" x14ac:dyDescent="0.35">
      <c r="A162" s="3">
        <v>10510147</v>
      </c>
      <c r="B162" s="3" t="str">
        <f t="shared" si="17"/>
        <v>08-156-156</v>
      </c>
      <c r="C162">
        <v>156</v>
      </c>
      <c r="D162" t="s">
        <v>41</v>
      </c>
      <c r="E162">
        <v>7</v>
      </c>
      <c r="F162">
        <v>50</v>
      </c>
      <c r="G162" t="s">
        <v>42</v>
      </c>
      <c r="H162">
        <v>31.061991549999998</v>
      </c>
      <c r="I162" t="str">
        <f>"-102.2748131"</f>
        <v>-102.2748131</v>
      </c>
      <c r="J162">
        <v>31.06214151</v>
      </c>
      <c r="K162" t="str">
        <f>"-102.27522836"</f>
        <v>-102.27522836</v>
      </c>
      <c r="L162" t="s">
        <v>43</v>
      </c>
      <c r="Q162">
        <v>5260</v>
      </c>
      <c r="R162" t="s">
        <v>44</v>
      </c>
      <c r="AA162" t="s">
        <v>45</v>
      </c>
      <c r="AB162" t="str">
        <f t="shared" si="20"/>
        <v>08</v>
      </c>
      <c r="AC162">
        <v>21736</v>
      </c>
      <c r="AD162">
        <v>617544</v>
      </c>
      <c r="AE162" t="s">
        <v>55</v>
      </c>
      <c r="AF162" t="s">
        <v>66</v>
      </c>
      <c r="AG162" t="s">
        <v>56</v>
      </c>
      <c r="AH162">
        <v>156</v>
      </c>
      <c r="AI162" s="7" t="str">
        <f t="shared" si="16"/>
        <v>10510147_08_156_156</v>
      </c>
      <c r="AJ162" t="s">
        <v>51</v>
      </c>
      <c r="AK162" t="s">
        <v>52</v>
      </c>
      <c r="AL162" s="1">
        <v>34508</v>
      </c>
      <c r="AM162">
        <v>5380</v>
      </c>
    </row>
    <row r="163" spans="1:39" x14ac:dyDescent="0.35">
      <c r="A163" s="3">
        <v>10510147</v>
      </c>
      <c r="B163" s="3" t="str">
        <f t="shared" si="17"/>
        <v>08-156-156</v>
      </c>
      <c r="C163">
        <v>156</v>
      </c>
      <c r="D163" t="s">
        <v>41</v>
      </c>
      <c r="E163">
        <v>7</v>
      </c>
      <c r="F163">
        <v>50</v>
      </c>
      <c r="G163" t="s">
        <v>42</v>
      </c>
      <c r="H163">
        <v>31.061991549999998</v>
      </c>
      <c r="I163" t="str">
        <f>"-102.2748131"</f>
        <v>-102.2748131</v>
      </c>
      <c r="J163">
        <v>31.06214151</v>
      </c>
      <c r="K163" t="str">
        <f>"-102.27522836"</f>
        <v>-102.27522836</v>
      </c>
      <c r="L163" t="s">
        <v>43</v>
      </c>
      <c r="Q163">
        <v>5260</v>
      </c>
      <c r="R163" t="s">
        <v>44</v>
      </c>
      <c r="AA163" t="s">
        <v>45</v>
      </c>
      <c r="AB163" t="str">
        <f t="shared" si="20"/>
        <v>08</v>
      </c>
      <c r="AC163">
        <v>21737</v>
      </c>
      <c r="AD163">
        <v>773840</v>
      </c>
      <c r="AE163" t="s">
        <v>79</v>
      </c>
      <c r="AF163" t="s">
        <v>66</v>
      </c>
      <c r="AG163" t="s">
        <v>58</v>
      </c>
      <c r="AH163">
        <v>156</v>
      </c>
      <c r="AI163" s="7" t="str">
        <f t="shared" si="16"/>
        <v>10510147_08_156_156</v>
      </c>
      <c r="AJ163" t="s">
        <v>51</v>
      </c>
      <c r="AK163" t="s">
        <v>52</v>
      </c>
      <c r="AL163" s="1">
        <v>34508</v>
      </c>
      <c r="AM163">
        <v>5380</v>
      </c>
    </row>
    <row r="164" spans="1:39" x14ac:dyDescent="0.35">
      <c r="A164" s="3">
        <v>10510148</v>
      </c>
      <c r="B164" s="3" t="str">
        <f t="shared" si="17"/>
        <v>08-142-142</v>
      </c>
      <c r="C164">
        <v>142</v>
      </c>
      <c r="D164" t="s">
        <v>151</v>
      </c>
      <c r="E164">
        <v>10</v>
      </c>
      <c r="F164">
        <v>50</v>
      </c>
      <c r="G164" t="s">
        <v>42</v>
      </c>
      <c r="H164">
        <v>31.054126650000001</v>
      </c>
      <c r="I164" t="str">
        <f>"-102.28956191"</f>
        <v>-102.28956191</v>
      </c>
      <c r="J164">
        <v>31.054276860000002</v>
      </c>
      <c r="K164" t="str">
        <f>"-102.28997746"</f>
        <v>-102.28997746</v>
      </c>
      <c r="L164" t="s">
        <v>43</v>
      </c>
      <c r="Q164">
        <v>5085</v>
      </c>
      <c r="R164" t="s">
        <v>44</v>
      </c>
      <c r="AA164" t="s">
        <v>152</v>
      </c>
      <c r="AB164" t="str">
        <f t="shared" si="20"/>
        <v>08</v>
      </c>
      <c r="AC164">
        <v>173511</v>
      </c>
      <c r="AD164">
        <v>617544</v>
      </c>
      <c r="AE164" t="s">
        <v>55</v>
      </c>
      <c r="AF164" t="s">
        <v>66</v>
      </c>
      <c r="AG164" t="s">
        <v>56</v>
      </c>
      <c r="AH164">
        <v>142</v>
      </c>
      <c r="AI164" s="7" t="str">
        <f t="shared" si="16"/>
        <v>10510148_08_142_142</v>
      </c>
      <c r="AJ164" t="s">
        <v>51</v>
      </c>
      <c r="AK164" t="s">
        <v>52</v>
      </c>
      <c r="AL164" s="1">
        <v>42096</v>
      </c>
      <c r="AM164">
        <v>5085</v>
      </c>
    </row>
    <row r="165" spans="1:39" x14ac:dyDescent="0.35">
      <c r="A165" s="3">
        <v>10510148</v>
      </c>
      <c r="B165" s="3" t="str">
        <f t="shared" si="17"/>
        <v>08-10-142</v>
      </c>
      <c r="C165">
        <v>142</v>
      </c>
      <c r="D165" t="s">
        <v>151</v>
      </c>
      <c r="E165">
        <v>10</v>
      </c>
      <c r="F165">
        <v>50</v>
      </c>
      <c r="G165" t="s">
        <v>42</v>
      </c>
      <c r="H165">
        <v>31.054126650000001</v>
      </c>
      <c r="I165" t="str">
        <f>"-102.28956191"</f>
        <v>-102.28956191</v>
      </c>
      <c r="J165">
        <v>31.054276860000002</v>
      </c>
      <c r="K165" t="str">
        <f>"-102.28997746"</f>
        <v>-102.28997746</v>
      </c>
      <c r="L165" t="s">
        <v>43</v>
      </c>
      <c r="Q165">
        <v>5085</v>
      </c>
      <c r="R165" t="s">
        <v>44</v>
      </c>
      <c r="AA165" t="s">
        <v>45</v>
      </c>
      <c r="AB165" t="str">
        <f t="shared" si="20"/>
        <v>08</v>
      </c>
      <c r="AC165">
        <v>16645</v>
      </c>
      <c r="AD165">
        <v>338130</v>
      </c>
      <c r="AE165" t="s">
        <v>74</v>
      </c>
      <c r="AF165" t="s">
        <v>66</v>
      </c>
      <c r="AG165" t="s">
        <v>58</v>
      </c>
      <c r="AH165">
        <v>10</v>
      </c>
      <c r="AI165" s="7" t="str">
        <f t="shared" si="16"/>
        <v>10510148_08_10_142</v>
      </c>
      <c r="AJ165" t="s">
        <v>51</v>
      </c>
      <c r="AK165" t="s">
        <v>52</v>
      </c>
      <c r="AL165" s="1">
        <v>42096</v>
      </c>
      <c r="AM165">
        <v>5085</v>
      </c>
    </row>
    <row r="166" spans="1:39" x14ac:dyDescent="0.35">
      <c r="A166" s="3">
        <v>10510148</v>
      </c>
      <c r="B166" s="3" t="str">
        <f t="shared" si="17"/>
        <v>08-142-142</v>
      </c>
      <c r="C166">
        <v>142</v>
      </c>
      <c r="D166" t="s">
        <v>151</v>
      </c>
      <c r="E166">
        <v>10</v>
      </c>
      <c r="F166">
        <v>50</v>
      </c>
      <c r="G166" t="s">
        <v>42</v>
      </c>
      <c r="H166">
        <v>31.054126650000001</v>
      </c>
      <c r="I166" t="str">
        <f>"-102.28956191"</f>
        <v>-102.28956191</v>
      </c>
      <c r="J166">
        <v>31.054276860000002</v>
      </c>
      <c r="K166" t="str">
        <f>"-102.28997746"</f>
        <v>-102.28997746</v>
      </c>
      <c r="L166" t="s">
        <v>43</v>
      </c>
      <c r="Q166">
        <v>5085</v>
      </c>
      <c r="R166" t="s">
        <v>44</v>
      </c>
      <c r="AA166" t="s">
        <v>45</v>
      </c>
      <c r="AB166" t="str">
        <f t="shared" si="20"/>
        <v>08</v>
      </c>
      <c r="AC166">
        <v>21736</v>
      </c>
      <c r="AD166">
        <v>617544</v>
      </c>
      <c r="AE166" t="s">
        <v>55</v>
      </c>
      <c r="AF166" t="s">
        <v>66</v>
      </c>
      <c r="AG166" t="s">
        <v>56</v>
      </c>
      <c r="AH166">
        <v>142</v>
      </c>
      <c r="AI166" s="7" t="str">
        <f t="shared" si="16"/>
        <v>10510148_08_142_142</v>
      </c>
      <c r="AJ166" t="s">
        <v>51</v>
      </c>
      <c r="AK166" t="s">
        <v>52</v>
      </c>
      <c r="AL166" s="1">
        <v>42096</v>
      </c>
      <c r="AM166">
        <v>5085</v>
      </c>
    </row>
    <row r="167" spans="1:39" x14ac:dyDescent="0.35">
      <c r="A167" s="3">
        <v>10510148</v>
      </c>
      <c r="B167" s="3" t="str">
        <f t="shared" si="17"/>
        <v>08-142-142</v>
      </c>
      <c r="C167">
        <v>142</v>
      </c>
      <c r="D167" t="s">
        <v>151</v>
      </c>
      <c r="E167">
        <v>10</v>
      </c>
      <c r="F167">
        <v>50</v>
      </c>
      <c r="G167" t="s">
        <v>42</v>
      </c>
      <c r="H167">
        <v>31.054126650000001</v>
      </c>
      <c r="I167" t="str">
        <f>"-102.28956191"</f>
        <v>-102.28956191</v>
      </c>
      <c r="J167">
        <v>31.054276860000002</v>
      </c>
      <c r="K167" t="str">
        <f>"-102.28997746"</f>
        <v>-102.28997746</v>
      </c>
      <c r="L167" t="s">
        <v>43</v>
      </c>
      <c r="Q167">
        <v>5085</v>
      </c>
      <c r="R167" t="s">
        <v>44</v>
      </c>
      <c r="AA167" t="s">
        <v>45</v>
      </c>
      <c r="AB167" t="str">
        <f t="shared" si="20"/>
        <v>08</v>
      </c>
      <c r="AC167">
        <v>21737</v>
      </c>
      <c r="AD167">
        <v>773840</v>
      </c>
      <c r="AE167" t="s">
        <v>79</v>
      </c>
      <c r="AF167" t="s">
        <v>66</v>
      </c>
      <c r="AG167" t="s">
        <v>58</v>
      </c>
      <c r="AH167">
        <v>142</v>
      </c>
      <c r="AI167" s="7" t="str">
        <f t="shared" si="16"/>
        <v>10510148_08_142_142</v>
      </c>
      <c r="AJ167" t="s">
        <v>51</v>
      </c>
      <c r="AK167" t="s">
        <v>52</v>
      </c>
      <c r="AL167" s="1">
        <v>42096</v>
      </c>
      <c r="AM167">
        <v>5085</v>
      </c>
    </row>
    <row r="168" spans="1:39" x14ac:dyDescent="0.35">
      <c r="A168" s="3">
        <v>10510150</v>
      </c>
      <c r="B168" s="3" t="str">
        <f t="shared" si="17"/>
        <v>08-12-141</v>
      </c>
      <c r="C168">
        <v>141</v>
      </c>
      <c r="D168" t="s">
        <v>63</v>
      </c>
      <c r="E168">
        <v>4</v>
      </c>
      <c r="F168">
        <v>50</v>
      </c>
      <c r="G168" t="s">
        <v>42</v>
      </c>
      <c r="H168">
        <v>31.051569600000001</v>
      </c>
      <c r="I168" t="str">
        <f>"-102.29197463"</f>
        <v>-102.29197463</v>
      </c>
      <c r="J168">
        <v>31.051719819999999</v>
      </c>
      <c r="K168" t="str">
        <f>"-102.29239019"</f>
        <v>-102.29239019</v>
      </c>
      <c r="L168" t="s">
        <v>65</v>
      </c>
      <c r="Q168">
        <v>5075</v>
      </c>
      <c r="R168" t="s">
        <v>44</v>
      </c>
      <c r="AA168" t="s">
        <v>45</v>
      </c>
      <c r="AB168" t="str">
        <f t="shared" si="20"/>
        <v>08</v>
      </c>
      <c r="AC168">
        <v>16645</v>
      </c>
      <c r="AD168">
        <v>338130</v>
      </c>
      <c r="AE168" t="s">
        <v>74</v>
      </c>
      <c r="AF168" t="s">
        <v>66</v>
      </c>
      <c r="AG168" t="s">
        <v>58</v>
      </c>
      <c r="AH168">
        <v>12</v>
      </c>
      <c r="AI168" s="7" t="str">
        <f t="shared" si="16"/>
        <v>10510150_08_12_141</v>
      </c>
      <c r="AJ168" t="s">
        <v>51</v>
      </c>
      <c r="AK168" t="s">
        <v>52</v>
      </c>
    </row>
    <row r="169" spans="1:39" x14ac:dyDescent="0.35">
      <c r="A169" s="3">
        <v>10510150</v>
      </c>
      <c r="B169" s="3" t="str">
        <f t="shared" si="17"/>
        <v>08-141-141</v>
      </c>
      <c r="C169">
        <v>141</v>
      </c>
      <c r="D169" t="s">
        <v>63</v>
      </c>
      <c r="E169">
        <v>4</v>
      </c>
      <c r="F169">
        <v>50</v>
      </c>
      <c r="G169" t="s">
        <v>42</v>
      </c>
      <c r="H169">
        <v>31.051569600000001</v>
      </c>
      <c r="I169" t="str">
        <f>"-102.29197463"</f>
        <v>-102.29197463</v>
      </c>
      <c r="J169">
        <v>31.051719819999999</v>
      </c>
      <c r="K169" t="str">
        <f>"-102.29239019"</f>
        <v>-102.29239019</v>
      </c>
      <c r="L169" t="s">
        <v>65</v>
      </c>
      <c r="Q169">
        <v>5075</v>
      </c>
      <c r="R169" t="s">
        <v>44</v>
      </c>
      <c r="AA169" t="s">
        <v>45</v>
      </c>
      <c r="AB169" t="str">
        <f t="shared" si="20"/>
        <v>08</v>
      </c>
      <c r="AC169">
        <v>21736</v>
      </c>
      <c r="AD169">
        <v>617544</v>
      </c>
      <c r="AE169" t="s">
        <v>55</v>
      </c>
      <c r="AF169" t="s">
        <v>66</v>
      </c>
      <c r="AG169" t="s">
        <v>56</v>
      </c>
      <c r="AH169">
        <v>141</v>
      </c>
      <c r="AI169" s="7" t="str">
        <f t="shared" si="16"/>
        <v>10510150_08_141_141</v>
      </c>
      <c r="AJ169" t="s">
        <v>72</v>
      </c>
      <c r="AK169" t="s">
        <v>73</v>
      </c>
    </row>
    <row r="170" spans="1:39" x14ac:dyDescent="0.35">
      <c r="A170" s="3">
        <v>10510153</v>
      </c>
      <c r="B170" s="3" t="str">
        <f t="shared" si="17"/>
        <v>08- 151G -151GR</v>
      </c>
      <c r="C170" t="s">
        <v>153</v>
      </c>
      <c r="D170" t="s">
        <v>112</v>
      </c>
      <c r="E170">
        <v>23</v>
      </c>
      <c r="F170">
        <v>50</v>
      </c>
      <c r="G170" t="s">
        <v>42</v>
      </c>
      <c r="H170">
        <v>2964590.89927821</v>
      </c>
      <c r="I170" t="str">
        <f t="shared" ref="I170:I176" si="21">"2285022.78248031"</f>
        <v>2285022.78248031</v>
      </c>
      <c r="J170">
        <v>31.048914719999999</v>
      </c>
      <c r="K170" t="str">
        <f t="shared" ref="K170:K176" si="22">"-102.28841788"</f>
        <v>-102.28841788</v>
      </c>
      <c r="L170" t="s">
        <v>65</v>
      </c>
      <c r="Q170">
        <v>5515</v>
      </c>
      <c r="R170" t="s">
        <v>44</v>
      </c>
      <c r="AA170" t="s">
        <v>152</v>
      </c>
      <c r="AB170" t="str">
        <f t="shared" si="20"/>
        <v>08</v>
      </c>
      <c r="AC170">
        <v>152973</v>
      </c>
      <c r="AD170">
        <v>617544</v>
      </c>
      <c r="AE170" t="s">
        <v>55</v>
      </c>
      <c r="AF170" t="s">
        <v>66</v>
      </c>
      <c r="AG170" t="s">
        <v>56</v>
      </c>
      <c r="AH170" t="s">
        <v>154</v>
      </c>
      <c r="AI170" s="7" t="str">
        <f t="shared" si="16"/>
        <v>10510153_08_ 151G _151GR</v>
      </c>
      <c r="AJ170" t="s">
        <v>51</v>
      </c>
      <c r="AK170" t="s">
        <v>52</v>
      </c>
    </row>
    <row r="171" spans="1:39" x14ac:dyDescent="0.35">
      <c r="A171" s="3">
        <v>10510153</v>
      </c>
      <c r="B171" s="3" t="str">
        <f t="shared" si="17"/>
        <v>08-  15 L-151GR</v>
      </c>
      <c r="C171" t="s">
        <v>153</v>
      </c>
      <c r="D171" t="s">
        <v>112</v>
      </c>
      <c r="E171">
        <v>23</v>
      </c>
      <c r="F171">
        <v>50</v>
      </c>
      <c r="G171" t="s">
        <v>42</v>
      </c>
      <c r="H171">
        <v>2964590.89927821</v>
      </c>
      <c r="I171" t="str">
        <f t="shared" si="21"/>
        <v>2285022.78248031</v>
      </c>
      <c r="J171">
        <v>31.048914719999999</v>
      </c>
      <c r="K171" t="str">
        <f t="shared" si="22"/>
        <v>-102.28841788</v>
      </c>
      <c r="L171" t="s">
        <v>65</v>
      </c>
      <c r="Q171">
        <v>5515</v>
      </c>
      <c r="R171" t="s">
        <v>44</v>
      </c>
      <c r="AA171" t="s">
        <v>45</v>
      </c>
      <c r="AB171" t="str">
        <f t="shared" si="20"/>
        <v>08</v>
      </c>
      <c r="AC171">
        <v>16645</v>
      </c>
      <c r="AD171">
        <v>338130</v>
      </c>
      <c r="AE171" t="s">
        <v>74</v>
      </c>
      <c r="AF171" t="s">
        <v>66</v>
      </c>
      <c r="AG171" t="s">
        <v>58</v>
      </c>
      <c r="AH171" t="s">
        <v>155</v>
      </c>
      <c r="AI171" s="7" t="str">
        <f t="shared" si="16"/>
        <v>10510153_08_  15 L_151GR</v>
      </c>
      <c r="AJ171" t="s">
        <v>51</v>
      </c>
      <c r="AK171" t="s">
        <v>52</v>
      </c>
    </row>
    <row r="172" spans="1:39" x14ac:dyDescent="0.35">
      <c r="A172" s="3">
        <v>10510153</v>
      </c>
      <c r="B172" s="3" t="str">
        <f t="shared" si="17"/>
        <v>08-  15 C-151GR</v>
      </c>
      <c r="C172" t="s">
        <v>153</v>
      </c>
      <c r="D172" t="s">
        <v>112</v>
      </c>
      <c r="E172">
        <v>23</v>
      </c>
      <c r="F172">
        <v>50</v>
      </c>
      <c r="G172" t="s">
        <v>42</v>
      </c>
      <c r="H172">
        <v>2964590.89927821</v>
      </c>
      <c r="I172" t="str">
        <f t="shared" si="21"/>
        <v>2285022.78248031</v>
      </c>
      <c r="J172">
        <v>31.048914719999999</v>
      </c>
      <c r="K172" t="str">
        <f t="shared" si="22"/>
        <v>-102.28841788</v>
      </c>
      <c r="L172" t="s">
        <v>65</v>
      </c>
      <c r="Q172">
        <v>5515</v>
      </c>
      <c r="R172" t="s">
        <v>44</v>
      </c>
      <c r="AA172" t="s">
        <v>45</v>
      </c>
      <c r="AB172" t="str">
        <f t="shared" si="20"/>
        <v>08</v>
      </c>
      <c r="AC172">
        <v>19403</v>
      </c>
      <c r="AD172">
        <v>338130</v>
      </c>
      <c r="AE172" t="s">
        <v>74</v>
      </c>
      <c r="AF172" t="s">
        <v>156</v>
      </c>
      <c r="AG172" t="s">
        <v>56</v>
      </c>
      <c r="AH172" t="s">
        <v>157</v>
      </c>
      <c r="AI172" s="7" t="str">
        <f t="shared" si="16"/>
        <v>10510153_08_  15 C_151GR</v>
      </c>
      <c r="AJ172" t="s">
        <v>51</v>
      </c>
      <c r="AK172" t="s">
        <v>52</v>
      </c>
    </row>
    <row r="173" spans="1:39" x14ac:dyDescent="0.35">
      <c r="A173" s="3">
        <v>10510153</v>
      </c>
      <c r="B173" s="3" t="str">
        <f t="shared" si="17"/>
        <v>08- 151 C-151GR</v>
      </c>
      <c r="C173" t="s">
        <v>153</v>
      </c>
      <c r="D173" t="s">
        <v>112</v>
      </c>
      <c r="E173">
        <v>23</v>
      </c>
      <c r="F173">
        <v>50</v>
      </c>
      <c r="G173" t="s">
        <v>42</v>
      </c>
      <c r="H173">
        <v>2964590.89927821</v>
      </c>
      <c r="I173" t="str">
        <f t="shared" si="21"/>
        <v>2285022.78248031</v>
      </c>
      <c r="J173">
        <v>31.048914719999999</v>
      </c>
      <c r="K173" t="str">
        <f t="shared" si="22"/>
        <v>-102.28841788</v>
      </c>
      <c r="L173" t="s">
        <v>65</v>
      </c>
      <c r="Q173">
        <v>5515</v>
      </c>
      <c r="R173" t="s">
        <v>44</v>
      </c>
      <c r="AA173" t="s">
        <v>45</v>
      </c>
      <c r="AB173" t="str">
        <f t="shared" si="20"/>
        <v>08</v>
      </c>
      <c r="AC173">
        <v>21736</v>
      </c>
      <c r="AD173">
        <v>617544</v>
      </c>
      <c r="AE173" t="s">
        <v>55</v>
      </c>
      <c r="AF173" t="s">
        <v>66</v>
      </c>
      <c r="AG173" t="s">
        <v>56</v>
      </c>
      <c r="AH173" t="s">
        <v>158</v>
      </c>
      <c r="AI173" s="7" t="str">
        <f t="shared" si="16"/>
        <v>10510153_08_ 151 C_151GR</v>
      </c>
      <c r="AJ173" t="s">
        <v>51</v>
      </c>
      <c r="AK173" t="s">
        <v>52</v>
      </c>
    </row>
    <row r="174" spans="1:39" x14ac:dyDescent="0.35">
      <c r="A174" s="3">
        <v>10510153</v>
      </c>
      <c r="B174" s="3" t="str">
        <f t="shared" si="17"/>
        <v>08- 151G -151GR</v>
      </c>
      <c r="C174" t="s">
        <v>153</v>
      </c>
      <c r="D174" t="s">
        <v>112</v>
      </c>
      <c r="E174">
        <v>23</v>
      </c>
      <c r="F174">
        <v>50</v>
      </c>
      <c r="G174" t="s">
        <v>42</v>
      </c>
      <c r="H174">
        <v>2964590.89927821</v>
      </c>
      <c r="I174" t="str">
        <f t="shared" si="21"/>
        <v>2285022.78248031</v>
      </c>
      <c r="J174">
        <v>31.048914719999999</v>
      </c>
      <c r="K174" t="str">
        <f t="shared" si="22"/>
        <v>-102.28841788</v>
      </c>
      <c r="L174" t="s">
        <v>65</v>
      </c>
      <c r="Q174">
        <v>5515</v>
      </c>
      <c r="R174" t="s">
        <v>44</v>
      </c>
      <c r="AA174" t="s">
        <v>45</v>
      </c>
      <c r="AB174" t="str">
        <f t="shared" si="20"/>
        <v>08</v>
      </c>
      <c r="AC174">
        <v>21736</v>
      </c>
      <c r="AD174">
        <v>617544</v>
      </c>
      <c r="AE174" t="s">
        <v>55</v>
      </c>
      <c r="AF174" t="s">
        <v>66</v>
      </c>
      <c r="AG174" t="s">
        <v>56</v>
      </c>
      <c r="AH174" t="s">
        <v>154</v>
      </c>
      <c r="AI174" s="7" t="str">
        <f t="shared" si="16"/>
        <v>10510153_08_ 151G _151GR</v>
      </c>
      <c r="AJ174" t="s">
        <v>51</v>
      </c>
      <c r="AK174" t="s">
        <v>52</v>
      </c>
    </row>
    <row r="175" spans="1:39" x14ac:dyDescent="0.35">
      <c r="A175" s="3">
        <v>10510153</v>
      </c>
      <c r="B175" s="3" t="str">
        <f t="shared" si="17"/>
        <v>08- 151GR-151GR</v>
      </c>
      <c r="C175" t="s">
        <v>153</v>
      </c>
      <c r="D175" t="s">
        <v>112</v>
      </c>
      <c r="E175">
        <v>23</v>
      </c>
      <c r="F175">
        <v>50</v>
      </c>
      <c r="G175" t="s">
        <v>42</v>
      </c>
      <c r="H175">
        <v>2964590.89927821</v>
      </c>
      <c r="I175" t="str">
        <f t="shared" si="21"/>
        <v>2285022.78248031</v>
      </c>
      <c r="J175">
        <v>31.048914719999999</v>
      </c>
      <c r="K175" t="str">
        <f t="shared" si="22"/>
        <v>-102.28841788</v>
      </c>
      <c r="L175" t="s">
        <v>65</v>
      </c>
      <c r="Q175">
        <v>5515</v>
      </c>
      <c r="R175" t="s">
        <v>44</v>
      </c>
      <c r="AA175" t="s">
        <v>45</v>
      </c>
      <c r="AB175" t="str">
        <f t="shared" si="20"/>
        <v>08</v>
      </c>
      <c r="AC175">
        <v>21736</v>
      </c>
      <c r="AD175">
        <v>617544</v>
      </c>
      <c r="AE175" t="s">
        <v>55</v>
      </c>
      <c r="AF175" t="s">
        <v>66</v>
      </c>
      <c r="AG175" t="s">
        <v>56</v>
      </c>
      <c r="AH175" t="s">
        <v>159</v>
      </c>
      <c r="AI175" s="7" t="str">
        <f t="shared" si="16"/>
        <v>10510153_08_ 151GR_151GR</v>
      </c>
      <c r="AJ175" t="s">
        <v>86</v>
      </c>
      <c r="AK175" t="s">
        <v>73</v>
      </c>
    </row>
    <row r="176" spans="1:39" x14ac:dyDescent="0.35">
      <c r="A176" s="3">
        <v>10510153</v>
      </c>
      <c r="B176" s="3" t="str">
        <f t="shared" si="17"/>
        <v>08- 151 L-151GR</v>
      </c>
      <c r="C176" t="s">
        <v>153</v>
      </c>
      <c r="D176" t="s">
        <v>112</v>
      </c>
      <c r="E176">
        <v>23</v>
      </c>
      <c r="F176">
        <v>50</v>
      </c>
      <c r="G176" t="s">
        <v>42</v>
      </c>
      <c r="H176">
        <v>2964590.89927821</v>
      </c>
      <c r="I176" t="str">
        <f t="shared" si="21"/>
        <v>2285022.78248031</v>
      </c>
      <c r="J176">
        <v>31.048914719999999</v>
      </c>
      <c r="K176" t="str">
        <f t="shared" si="22"/>
        <v>-102.28841788</v>
      </c>
      <c r="L176" t="s">
        <v>65</v>
      </c>
      <c r="Q176">
        <v>5515</v>
      </c>
      <c r="R176" t="s">
        <v>44</v>
      </c>
      <c r="AA176" t="s">
        <v>45</v>
      </c>
      <c r="AB176" t="str">
        <f t="shared" si="20"/>
        <v>08</v>
      </c>
      <c r="AC176">
        <v>21737</v>
      </c>
      <c r="AD176">
        <v>773840</v>
      </c>
      <c r="AE176" t="s">
        <v>79</v>
      </c>
      <c r="AF176" t="s">
        <v>66</v>
      </c>
      <c r="AG176" t="s">
        <v>58</v>
      </c>
      <c r="AH176" t="s">
        <v>160</v>
      </c>
      <c r="AI176" s="7" t="str">
        <f t="shared" si="16"/>
        <v>10510153_08_ 151 L_151GR</v>
      </c>
      <c r="AJ176" t="s">
        <v>51</v>
      </c>
      <c r="AK176" t="s">
        <v>52</v>
      </c>
    </row>
    <row r="177" spans="1:41" x14ac:dyDescent="0.35">
      <c r="A177" s="3">
        <v>10510154</v>
      </c>
      <c r="B177" s="3" t="str">
        <f t="shared" si="17"/>
        <v>08-  16 L-150</v>
      </c>
      <c r="C177">
        <v>150</v>
      </c>
      <c r="D177" t="s">
        <v>76</v>
      </c>
      <c r="E177">
        <v>21</v>
      </c>
      <c r="F177">
        <v>50</v>
      </c>
      <c r="G177" t="s">
        <v>42</v>
      </c>
      <c r="H177">
        <v>2963690.7821522402</v>
      </c>
      <c r="I177" t="str">
        <f>"2284245.0206693"</f>
        <v>2284245.0206693</v>
      </c>
      <c r="J177">
        <v>31.04639105</v>
      </c>
      <c r="K177" t="str">
        <f>"-102.2908465"</f>
        <v>-102.2908465</v>
      </c>
      <c r="L177" t="s">
        <v>65</v>
      </c>
      <c r="Q177">
        <v>5041</v>
      </c>
      <c r="R177" t="s">
        <v>44</v>
      </c>
      <c r="AA177" t="s">
        <v>45</v>
      </c>
      <c r="AB177" t="str">
        <f t="shared" si="20"/>
        <v>08</v>
      </c>
      <c r="AC177">
        <v>16645</v>
      </c>
      <c r="AD177">
        <v>338130</v>
      </c>
      <c r="AE177" t="s">
        <v>74</v>
      </c>
      <c r="AF177" t="s">
        <v>66</v>
      </c>
      <c r="AG177" t="s">
        <v>58</v>
      </c>
      <c r="AH177" t="s">
        <v>161</v>
      </c>
      <c r="AI177" s="7" t="str">
        <f t="shared" si="16"/>
        <v>10510154_08_  16 L_150</v>
      </c>
      <c r="AJ177" t="s">
        <v>51</v>
      </c>
      <c r="AK177" t="s">
        <v>52</v>
      </c>
    </row>
    <row r="178" spans="1:41" x14ac:dyDescent="0.35">
      <c r="A178" s="3">
        <v>10510154</v>
      </c>
      <c r="B178" s="3" t="str">
        <f t="shared" si="17"/>
        <v>08-  16 U-150</v>
      </c>
      <c r="C178">
        <v>150</v>
      </c>
      <c r="D178" t="s">
        <v>76</v>
      </c>
      <c r="E178">
        <v>21</v>
      </c>
      <c r="F178">
        <v>50</v>
      </c>
      <c r="G178" t="s">
        <v>42</v>
      </c>
      <c r="H178">
        <v>2963690.7821522402</v>
      </c>
      <c r="I178" t="str">
        <f>"2284245.0206693"</f>
        <v>2284245.0206693</v>
      </c>
      <c r="J178">
        <v>31.04639105</v>
      </c>
      <c r="K178" t="str">
        <f>"-102.2908465"</f>
        <v>-102.2908465</v>
      </c>
      <c r="L178" t="s">
        <v>65</v>
      </c>
      <c r="Q178">
        <v>5041</v>
      </c>
      <c r="R178" t="s">
        <v>44</v>
      </c>
      <c r="AA178" t="s">
        <v>45</v>
      </c>
      <c r="AB178" t="str">
        <f t="shared" si="20"/>
        <v>08</v>
      </c>
      <c r="AC178">
        <v>19403</v>
      </c>
      <c r="AD178">
        <v>338130</v>
      </c>
      <c r="AE178" t="s">
        <v>74</v>
      </c>
      <c r="AF178" t="s">
        <v>156</v>
      </c>
      <c r="AG178" t="s">
        <v>56</v>
      </c>
      <c r="AH178" t="s">
        <v>162</v>
      </c>
      <c r="AI178" s="7" t="str">
        <f t="shared" si="16"/>
        <v>10510154_08_  16 U_150</v>
      </c>
      <c r="AJ178" t="s">
        <v>51</v>
      </c>
      <c r="AK178" t="s">
        <v>52</v>
      </c>
    </row>
    <row r="179" spans="1:41" x14ac:dyDescent="0.35">
      <c r="A179" s="3">
        <v>10510154</v>
      </c>
      <c r="B179" s="3" t="str">
        <f t="shared" si="17"/>
        <v>08-150-150</v>
      </c>
      <c r="C179">
        <v>150</v>
      </c>
      <c r="D179" t="s">
        <v>76</v>
      </c>
      <c r="E179">
        <v>21</v>
      </c>
      <c r="F179">
        <v>50</v>
      </c>
      <c r="G179" t="s">
        <v>42</v>
      </c>
      <c r="H179">
        <v>2963690.7821522402</v>
      </c>
      <c r="I179" t="str">
        <f>"2284245.0206693"</f>
        <v>2284245.0206693</v>
      </c>
      <c r="J179">
        <v>31.04639105</v>
      </c>
      <c r="K179" t="str">
        <f>"-102.2908465"</f>
        <v>-102.2908465</v>
      </c>
      <c r="L179" t="s">
        <v>65</v>
      </c>
      <c r="Q179">
        <v>5041</v>
      </c>
      <c r="R179" t="s">
        <v>44</v>
      </c>
      <c r="AA179" t="s">
        <v>45</v>
      </c>
      <c r="AB179" t="str">
        <f t="shared" si="20"/>
        <v>08</v>
      </c>
      <c r="AC179">
        <v>21736</v>
      </c>
      <c r="AD179">
        <v>617544</v>
      </c>
      <c r="AE179" t="s">
        <v>55</v>
      </c>
      <c r="AF179" t="s">
        <v>66</v>
      </c>
      <c r="AG179" t="s">
        <v>56</v>
      </c>
      <c r="AH179">
        <v>150</v>
      </c>
      <c r="AI179" s="7" t="str">
        <f t="shared" si="16"/>
        <v>10510154_08_150_150</v>
      </c>
      <c r="AJ179" t="s">
        <v>86</v>
      </c>
      <c r="AK179" t="s">
        <v>73</v>
      </c>
    </row>
    <row r="180" spans="1:41" x14ac:dyDescent="0.35">
      <c r="A180" s="3">
        <v>10510155</v>
      </c>
      <c r="B180" s="3" t="str">
        <f t="shared" si="17"/>
        <v>08-17-149</v>
      </c>
      <c r="C180">
        <v>149</v>
      </c>
      <c r="D180" t="s">
        <v>63</v>
      </c>
      <c r="E180">
        <v>4</v>
      </c>
      <c r="F180">
        <v>50</v>
      </c>
      <c r="G180" t="s">
        <v>42</v>
      </c>
      <c r="H180">
        <v>31.043722240000001</v>
      </c>
      <c r="I180" t="str">
        <f>"-102.29288188"</f>
        <v>-102.29288188</v>
      </c>
      <c r="J180">
        <v>31.043872650000001</v>
      </c>
      <c r="K180" t="str">
        <f>"-102.2932974"</f>
        <v>-102.2932974</v>
      </c>
      <c r="L180" t="s">
        <v>65</v>
      </c>
      <c r="Q180">
        <v>0</v>
      </c>
      <c r="R180" t="s">
        <v>44</v>
      </c>
      <c r="AA180" t="s">
        <v>45</v>
      </c>
      <c r="AB180" t="str">
        <f t="shared" si="20"/>
        <v>08</v>
      </c>
      <c r="AC180">
        <v>16645</v>
      </c>
      <c r="AD180">
        <v>338130</v>
      </c>
      <c r="AE180" t="s">
        <v>74</v>
      </c>
      <c r="AF180" t="s">
        <v>66</v>
      </c>
      <c r="AG180" t="s">
        <v>58</v>
      </c>
      <c r="AH180">
        <v>17</v>
      </c>
      <c r="AI180" s="7" t="str">
        <f t="shared" si="16"/>
        <v>10510155_08_17_149</v>
      </c>
      <c r="AJ180" t="s">
        <v>51</v>
      </c>
      <c r="AK180" t="s">
        <v>52</v>
      </c>
    </row>
    <row r="181" spans="1:41" x14ac:dyDescent="0.35">
      <c r="A181" s="3">
        <v>10510155</v>
      </c>
      <c r="B181" s="3" t="str">
        <f t="shared" si="17"/>
        <v>08-149-149</v>
      </c>
      <c r="C181">
        <v>149</v>
      </c>
      <c r="D181" t="s">
        <v>63</v>
      </c>
      <c r="E181">
        <v>4</v>
      </c>
      <c r="F181">
        <v>50</v>
      </c>
      <c r="G181" t="s">
        <v>42</v>
      </c>
      <c r="H181">
        <v>31.043722240000001</v>
      </c>
      <c r="I181" t="str">
        <f>"-102.29288188"</f>
        <v>-102.29288188</v>
      </c>
      <c r="J181">
        <v>31.043872650000001</v>
      </c>
      <c r="K181" t="str">
        <f>"-102.2932974"</f>
        <v>-102.2932974</v>
      </c>
      <c r="L181" t="s">
        <v>65</v>
      </c>
      <c r="Q181">
        <v>0</v>
      </c>
      <c r="R181" t="s">
        <v>44</v>
      </c>
      <c r="AA181" t="s">
        <v>45</v>
      </c>
      <c r="AB181" t="str">
        <f t="shared" si="20"/>
        <v>08</v>
      </c>
      <c r="AC181">
        <v>21736</v>
      </c>
      <c r="AD181">
        <v>617544</v>
      </c>
      <c r="AE181" t="s">
        <v>55</v>
      </c>
      <c r="AF181" t="s">
        <v>66</v>
      </c>
      <c r="AG181" t="s">
        <v>56</v>
      </c>
      <c r="AH181">
        <v>149</v>
      </c>
      <c r="AI181" s="7" t="str">
        <f t="shared" si="16"/>
        <v>10510155_08_149_149</v>
      </c>
      <c r="AJ181" t="s">
        <v>77</v>
      </c>
      <c r="AK181" t="s">
        <v>73</v>
      </c>
    </row>
    <row r="182" spans="1:41" x14ac:dyDescent="0.35">
      <c r="A182" s="3">
        <v>10510156</v>
      </c>
      <c r="B182" s="3" t="str">
        <f t="shared" si="17"/>
        <v>08-18-140</v>
      </c>
      <c r="C182">
        <v>140</v>
      </c>
      <c r="D182" t="s">
        <v>76</v>
      </c>
      <c r="E182">
        <v>21</v>
      </c>
      <c r="F182">
        <v>50</v>
      </c>
      <c r="G182" t="s">
        <v>42</v>
      </c>
      <c r="H182">
        <v>2964838.55479002</v>
      </c>
      <c r="I182" t="str">
        <f>"2282901.09744094"</f>
        <v>2282901.09744094</v>
      </c>
      <c r="J182">
        <v>31.049457619999998</v>
      </c>
      <c r="K182" t="str">
        <f>"-102.29520993"</f>
        <v>-102.29520993</v>
      </c>
      <c r="L182" t="s">
        <v>65</v>
      </c>
      <c r="Q182">
        <v>5040</v>
      </c>
      <c r="R182" t="s">
        <v>44</v>
      </c>
      <c r="AA182" t="s">
        <v>45</v>
      </c>
      <c r="AB182" t="str">
        <f t="shared" si="20"/>
        <v>08</v>
      </c>
      <c r="AC182">
        <v>19403</v>
      </c>
      <c r="AD182">
        <v>338130</v>
      </c>
      <c r="AE182" t="s">
        <v>74</v>
      </c>
      <c r="AF182" t="s">
        <v>156</v>
      </c>
      <c r="AG182" t="s">
        <v>56</v>
      </c>
      <c r="AH182">
        <v>18</v>
      </c>
      <c r="AI182" s="7" t="str">
        <f t="shared" si="16"/>
        <v>10510156_08_18_140</v>
      </c>
      <c r="AJ182" t="s">
        <v>51</v>
      </c>
      <c r="AK182" t="s">
        <v>52</v>
      </c>
    </row>
    <row r="183" spans="1:41" x14ac:dyDescent="0.35">
      <c r="A183" s="3">
        <v>10510156</v>
      </c>
      <c r="B183" s="3" t="str">
        <f t="shared" si="17"/>
        <v>08-140-140</v>
      </c>
      <c r="C183">
        <v>140</v>
      </c>
      <c r="D183" t="s">
        <v>76</v>
      </c>
      <c r="E183">
        <v>21</v>
      </c>
      <c r="F183">
        <v>50</v>
      </c>
      <c r="G183" t="s">
        <v>42</v>
      </c>
      <c r="H183">
        <v>2964838.55479002</v>
      </c>
      <c r="I183" t="str">
        <f>"2282901.09744094"</f>
        <v>2282901.09744094</v>
      </c>
      <c r="J183">
        <v>31.049457619999998</v>
      </c>
      <c r="K183" t="str">
        <f>"-102.29520993"</f>
        <v>-102.29520993</v>
      </c>
      <c r="L183" t="s">
        <v>65</v>
      </c>
      <c r="Q183">
        <v>5040</v>
      </c>
      <c r="R183" t="s">
        <v>44</v>
      </c>
      <c r="AA183" t="s">
        <v>45</v>
      </c>
      <c r="AB183" t="str">
        <f t="shared" si="20"/>
        <v>08</v>
      </c>
      <c r="AC183">
        <v>21736</v>
      </c>
      <c r="AD183">
        <v>617544</v>
      </c>
      <c r="AE183" t="s">
        <v>55</v>
      </c>
      <c r="AF183" t="s">
        <v>66</v>
      </c>
      <c r="AG183" t="s">
        <v>56</v>
      </c>
      <c r="AH183">
        <v>140</v>
      </c>
      <c r="AI183" s="7" t="str">
        <f t="shared" si="16"/>
        <v>10510156_08_140_140</v>
      </c>
      <c r="AJ183" t="s">
        <v>86</v>
      </c>
      <c r="AK183" t="s">
        <v>73</v>
      </c>
    </row>
    <row r="184" spans="1:41" x14ac:dyDescent="0.35">
      <c r="A184" s="3">
        <v>10510265</v>
      </c>
      <c r="B184" s="3" t="str">
        <f t="shared" si="17"/>
        <v>--192</v>
      </c>
      <c r="C184">
        <v>192</v>
      </c>
      <c r="D184" t="s">
        <v>41</v>
      </c>
      <c r="E184">
        <v>7</v>
      </c>
      <c r="F184">
        <v>50</v>
      </c>
      <c r="G184" t="s">
        <v>42</v>
      </c>
      <c r="H184">
        <v>31.058040210000001</v>
      </c>
      <c r="I184" t="str">
        <f>"-102.25739327"</f>
        <v>-102.25739327</v>
      </c>
      <c r="J184">
        <v>31.05819043</v>
      </c>
      <c r="K184" t="str">
        <f>"-102.25780801"</f>
        <v>-102.25780801</v>
      </c>
      <c r="L184" t="s">
        <v>149</v>
      </c>
      <c r="Q184">
        <v>0</v>
      </c>
      <c r="R184" t="s">
        <v>44</v>
      </c>
      <c r="AI184" s="7" t="str">
        <f t="shared" si="16"/>
        <v>10510265___192</v>
      </c>
      <c r="AL184" s="1">
        <v>31475</v>
      </c>
      <c r="AM184">
        <v>5501</v>
      </c>
      <c r="AN184" t="s">
        <v>163</v>
      </c>
      <c r="AO184" t="s">
        <v>66</v>
      </c>
    </row>
    <row r="185" spans="1:41" x14ac:dyDescent="0.35">
      <c r="A185" s="3">
        <v>10510279</v>
      </c>
      <c r="B185" s="3" t="str">
        <f t="shared" si="17"/>
        <v>08-5-159</v>
      </c>
      <c r="C185">
        <v>159</v>
      </c>
      <c r="D185" t="s">
        <v>63</v>
      </c>
      <c r="E185">
        <v>4</v>
      </c>
      <c r="F185">
        <v>50</v>
      </c>
      <c r="G185" t="s">
        <v>42</v>
      </c>
      <c r="H185">
        <v>31.04395551</v>
      </c>
      <c r="I185" t="str">
        <f>"-102.28779377"</f>
        <v>-102.28779377</v>
      </c>
      <c r="J185">
        <v>31.044105980000001</v>
      </c>
      <c r="K185" t="str">
        <f>"-102.28820916"</f>
        <v>-102.28820916</v>
      </c>
      <c r="L185" t="s">
        <v>65</v>
      </c>
      <c r="Q185">
        <v>5092</v>
      </c>
      <c r="R185" t="s">
        <v>44</v>
      </c>
      <c r="AA185" t="s">
        <v>45</v>
      </c>
      <c r="AB185" t="str">
        <f>"08"</f>
        <v>08</v>
      </c>
      <c r="AC185">
        <v>16974</v>
      </c>
      <c r="AD185">
        <v>773840</v>
      </c>
      <c r="AE185" t="s">
        <v>79</v>
      </c>
      <c r="AF185" t="s">
        <v>82</v>
      </c>
      <c r="AG185" t="s">
        <v>58</v>
      </c>
      <c r="AH185">
        <v>5</v>
      </c>
      <c r="AI185" s="7" t="str">
        <f t="shared" si="16"/>
        <v>10510279_08_5_159</v>
      </c>
      <c r="AJ185" t="s">
        <v>51</v>
      </c>
      <c r="AK185" t="s">
        <v>52</v>
      </c>
    </row>
    <row r="186" spans="1:41" x14ac:dyDescent="0.35">
      <c r="A186" s="3">
        <v>10510279</v>
      </c>
      <c r="B186" s="3" t="str">
        <f t="shared" si="17"/>
        <v>08-159-159</v>
      </c>
      <c r="C186">
        <v>159</v>
      </c>
      <c r="D186" t="s">
        <v>63</v>
      </c>
      <c r="E186">
        <v>4</v>
      </c>
      <c r="F186">
        <v>50</v>
      </c>
      <c r="G186" t="s">
        <v>42</v>
      </c>
      <c r="H186">
        <v>31.04395551</v>
      </c>
      <c r="I186" t="str">
        <f>"-102.28779377"</f>
        <v>-102.28779377</v>
      </c>
      <c r="J186">
        <v>31.044105980000001</v>
      </c>
      <c r="K186" t="str">
        <f>"-102.28820916"</f>
        <v>-102.28820916</v>
      </c>
      <c r="L186" t="s">
        <v>65</v>
      </c>
      <c r="Q186">
        <v>5092</v>
      </c>
      <c r="R186" t="s">
        <v>44</v>
      </c>
      <c r="AA186" t="s">
        <v>45</v>
      </c>
      <c r="AB186" t="str">
        <f>"08"</f>
        <v>08</v>
      </c>
      <c r="AC186">
        <v>21736</v>
      </c>
      <c r="AD186">
        <v>617544</v>
      </c>
      <c r="AE186" t="s">
        <v>55</v>
      </c>
      <c r="AF186" t="s">
        <v>66</v>
      </c>
      <c r="AG186" t="s">
        <v>56</v>
      </c>
      <c r="AH186">
        <v>159</v>
      </c>
      <c r="AI186" s="7" t="str">
        <f t="shared" si="16"/>
        <v>10510279_08_159_159</v>
      </c>
      <c r="AJ186" t="s">
        <v>72</v>
      </c>
      <c r="AK186" t="s">
        <v>73</v>
      </c>
    </row>
    <row r="187" spans="1:41" x14ac:dyDescent="0.35">
      <c r="A187" s="3">
        <v>10510280</v>
      </c>
      <c r="B187" s="3" t="str">
        <f t="shared" si="17"/>
        <v>7C-6-168</v>
      </c>
      <c r="C187">
        <v>168</v>
      </c>
      <c r="D187" t="s">
        <v>63</v>
      </c>
      <c r="E187">
        <v>4</v>
      </c>
      <c r="F187">
        <v>50</v>
      </c>
      <c r="G187" t="s">
        <v>42</v>
      </c>
      <c r="H187">
        <v>31.041834359999999</v>
      </c>
      <c r="I187" t="str">
        <f>"-102.28493185"</f>
        <v>-102.28493185</v>
      </c>
      <c r="J187">
        <v>31.041984960000001</v>
      </c>
      <c r="K187" t="str">
        <f>"-102.28534715"</f>
        <v>-102.28534715</v>
      </c>
      <c r="L187" t="s">
        <v>65</v>
      </c>
      <c r="Q187">
        <v>5100</v>
      </c>
      <c r="R187" t="s">
        <v>44</v>
      </c>
      <c r="AA187" t="s">
        <v>45</v>
      </c>
      <c r="AB187" t="s">
        <v>46</v>
      </c>
      <c r="AC187" t="str">
        <f>"03870"</f>
        <v>03870</v>
      </c>
      <c r="AD187">
        <v>773840</v>
      </c>
      <c r="AE187" t="s">
        <v>79</v>
      </c>
      <c r="AF187" t="s">
        <v>82</v>
      </c>
      <c r="AG187" t="s">
        <v>49</v>
      </c>
      <c r="AH187">
        <v>6</v>
      </c>
      <c r="AI187" s="7" t="str">
        <f t="shared" si="16"/>
        <v>10510280_7C_6_168</v>
      </c>
      <c r="AJ187" t="s">
        <v>51</v>
      </c>
      <c r="AK187" t="s">
        <v>52</v>
      </c>
    </row>
    <row r="188" spans="1:41" x14ac:dyDescent="0.35">
      <c r="A188" s="3">
        <v>10510280</v>
      </c>
      <c r="B188" s="3" t="str">
        <f t="shared" si="17"/>
        <v>08-168-168</v>
      </c>
      <c r="C188">
        <v>168</v>
      </c>
      <c r="D188" t="s">
        <v>63</v>
      </c>
      <c r="E188">
        <v>4</v>
      </c>
      <c r="F188">
        <v>50</v>
      </c>
      <c r="G188" t="s">
        <v>42</v>
      </c>
      <c r="H188">
        <v>31.041834359999999</v>
      </c>
      <c r="I188" t="str">
        <f>"-102.28493185"</f>
        <v>-102.28493185</v>
      </c>
      <c r="J188">
        <v>31.041984960000001</v>
      </c>
      <c r="K188" t="str">
        <f>"-102.28534715"</f>
        <v>-102.28534715</v>
      </c>
      <c r="L188" t="s">
        <v>65</v>
      </c>
      <c r="Q188">
        <v>5100</v>
      </c>
      <c r="R188" t="s">
        <v>44</v>
      </c>
      <c r="AA188" t="s">
        <v>45</v>
      </c>
      <c r="AB188" t="str">
        <f t="shared" ref="AB188:AB195" si="23">"08"</f>
        <v>08</v>
      </c>
      <c r="AC188">
        <v>21736</v>
      </c>
      <c r="AD188">
        <v>617544</v>
      </c>
      <c r="AE188" t="s">
        <v>55</v>
      </c>
      <c r="AF188" t="s">
        <v>66</v>
      </c>
      <c r="AG188" t="s">
        <v>56</v>
      </c>
      <c r="AH188">
        <v>168</v>
      </c>
      <c r="AI188" s="7" t="str">
        <f t="shared" si="16"/>
        <v>10510280_08_168_168</v>
      </c>
      <c r="AJ188" t="s">
        <v>72</v>
      </c>
      <c r="AK188" t="s">
        <v>73</v>
      </c>
    </row>
    <row r="189" spans="1:41" x14ac:dyDescent="0.35">
      <c r="A189" s="3">
        <v>10510281</v>
      </c>
      <c r="B189" s="3" t="str">
        <f t="shared" si="17"/>
        <v>08-7-158</v>
      </c>
      <c r="C189">
        <v>158</v>
      </c>
      <c r="D189" t="s">
        <v>41</v>
      </c>
      <c r="E189">
        <v>7</v>
      </c>
      <c r="F189">
        <v>50</v>
      </c>
      <c r="G189" t="s">
        <v>42</v>
      </c>
      <c r="H189">
        <v>31.041457789999999</v>
      </c>
      <c r="I189" t="str">
        <f>"-102.29020981"</f>
        <v>-102.29020981</v>
      </c>
      <c r="J189">
        <v>31.04160834</v>
      </c>
      <c r="K189" t="str">
        <f>"-102.29062519"</f>
        <v>-102.29062519</v>
      </c>
      <c r="L189" t="s">
        <v>43</v>
      </c>
      <c r="M189">
        <v>430291</v>
      </c>
      <c r="N189">
        <v>774720</v>
      </c>
      <c r="O189" t="s">
        <v>60</v>
      </c>
      <c r="P189" t="s">
        <v>82</v>
      </c>
      <c r="Q189">
        <v>0</v>
      </c>
      <c r="R189" t="s">
        <v>44</v>
      </c>
      <c r="S189">
        <v>5096</v>
      </c>
      <c r="T189" t="s">
        <v>164</v>
      </c>
      <c r="U189">
        <v>31</v>
      </c>
      <c r="V189">
        <v>22</v>
      </c>
      <c r="W189">
        <v>660</v>
      </c>
      <c r="X189" t="s">
        <v>68</v>
      </c>
      <c r="Y189">
        <v>9480</v>
      </c>
      <c r="Z189" t="s">
        <v>69</v>
      </c>
      <c r="AA189" t="s">
        <v>45</v>
      </c>
      <c r="AB189" t="str">
        <f t="shared" si="23"/>
        <v>08</v>
      </c>
      <c r="AC189">
        <v>16974</v>
      </c>
      <c r="AD189">
        <v>773840</v>
      </c>
      <c r="AE189" t="s">
        <v>79</v>
      </c>
      <c r="AF189" t="s">
        <v>82</v>
      </c>
      <c r="AG189" t="s">
        <v>58</v>
      </c>
      <c r="AH189">
        <v>7</v>
      </c>
      <c r="AI189" s="7" t="str">
        <f t="shared" si="16"/>
        <v>10510281_08_7_158</v>
      </c>
      <c r="AJ189" t="s">
        <v>51</v>
      </c>
      <c r="AK189" t="s">
        <v>52</v>
      </c>
      <c r="AL189" s="1">
        <v>34857</v>
      </c>
      <c r="AM189">
        <v>7126</v>
      </c>
    </row>
    <row r="190" spans="1:41" x14ac:dyDescent="0.35">
      <c r="A190" s="3">
        <v>10510281</v>
      </c>
      <c r="B190" s="3" t="str">
        <f t="shared" si="17"/>
        <v>08-158-158</v>
      </c>
      <c r="C190">
        <v>158</v>
      </c>
      <c r="D190" t="s">
        <v>41</v>
      </c>
      <c r="E190">
        <v>7</v>
      </c>
      <c r="F190">
        <v>50</v>
      </c>
      <c r="G190" t="s">
        <v>42</v>
      </c>
      <c r="H190">
        <v>31.041457789999999</v>
      </c>
      <c r="I190" t="str">
        <f>"-102.29020981"</f>
        <v>-102.29020981</v>
      </c>
      <c r="J190">
        <v>31.04160834</v>
      </c>
      <c r="K190" t="str">
        <f>"-102.29062519"</f>
        <v>-102.29062519</v>
      </c>
      <c r="L190" t="s">
        <v>43</v>
      </c>
      <c r="M190">
        <v>430291</v>
      </c>
      <c r="N190">
        <v>774720</v>
      </c>
      <c r="O190" t="s">
        <v>60</v>
      </c>
      <c r="P190" t="s">
        <v>82</v>
      </c>
      <c r="Q190">
        <v>0</v>
      </c>
      <c r="R190" t="s">
        <v>44</v>
      </c>
      <c r="S190">
        <v>5096</v>
      </c>
      <c r="T190" t="s">
        <v>164</v>
      </c>
      <c r="U190">
        <v>31</v>
      </c>
      <c r="V190">
        <v>22</v>
      </c>
      <c r="W190">
        <v>660</v>
      </c>
      <c r="X190" t="s">
        <v>68</v>
      </c>
      <c r="Y190">
        <v>9480</v>
      </c>
      <c r="Z190" t="s">
        <v>69</v>
      </c>
      <c r="AA190" t="s">
        <v>45</v>
      </c>
      <c r="AB190" t="str">
        <f t="shared" si="23"/>
        <v>08</v>
      </c>
      <c r="AC190">
        <v>21736</v>
      </c>
      <c r="AD190">
        <v>617544</v>
      </c>
      <c r="AE190" t="s">
        <v>55</v>
      </c>
      <c r="AF190" t="s">
        <v>66</v>
      </c>
      <c r="AG190" t="s">
        <v>56</v>
      </c>
      <c r="AH190">
        <v>158</v>
      </c>
      <c r="AI190" s="7" t="str">
        <f t="shared" si="16"/>
        <v>10510281_08_158_158</v>
      </c>
      <c r="AJ190" t="s">
        <v>51</v>
      </c>
      <c r="AK190" t="s">
        <v>52</v>
      </c>
      <c r="AL190" s="1">
        <v>34857</v>
      </c>
      <c r="AM190">
        <v>7126</v>
      </c>
    </row>
    <row r="191" spans="1:41" x14ac:dyDescent="0.35">
      <c r="A191" s="3">
        <v>10510282</v>
      </c>
      <c r="B191" s="3" t="str">
        <f t="shared" si="17"/>
        <v>08-167-167</v>
      </c>
      <c r="C191">
        <v>167</v>
      </c>
      <c r="D191" t="s">
        <v>76</v>
      </c>
      <c r="E191">
        <v>21</v>
      </c>
      <c r="F191">
        <v>50</v>
      </c>
      <c r="G191" t="s">
        <v>42</v>
      </c>
      <c r="H191">
        <v>2961159.8789370102</v>
      </c>
      <c r="I191" t="str">
        <f>"2285150.03543307"</f>
        <v>2285150.03543307</v>
      </c>
      <c r="J191">
        <v>31.039453269999999</v>
      </c>
      <c r="K191" t="str">
        <f>"-102.28777145"</f>
        <v>-102.28777145</v>
      </c>
      <c r="L191" t="s">
        <v>65</v>
      </c>
      <c r="Q191">
        <v>5150</v>
      </c>
      <c r="R191" t="s">
        <v>44</v>
      </c>
      <c r="AA191" t="s">
        <v>45</v>
      </c>
      <c r="AB191" t="str">
        <f t="shared" si="23"/>
        <v>08</v>
      </c>
      <c r="AC191">
        <v>21736</v>
      </c>
      <c r="AD191">
        <v>617544</v>
      </c>
      <c r="AE191" t="s">
        <v>55</v>
      </c>
      <c r="AF191" t="s">
        <v>66</v>
      </c>
      <c r="AG191" t="s">
        <v>56</v>
      </c>
      <c r="AH191">
        <v>167</v>
      </c>
      <c r="AI191" s="7" t="str">
        <f t="shared" si="16"/>
        <v>10510282_08_167_167</v>
      </c>
      <c r="AJ191" t="s">
        <v>86</v>
      </c>
      <c r="AK191" t="s">
        <v>73</v>
      </c>
    </row>
    <row r="192" spans="1:41" x14ac:dyDescent="0.35">
      <c r="A192" s="3">
        <v>10510298</v>
      </c>
      <c r="B192" s="3" t="str">
        <f t="shared" si="17"/>
        <v>08-   8 U-164</v>
      </c>
      <c r="C192">
        <v>164</v>
      </c>
      <c r="D192" t="s">
        <v>63</v>
      </c>
      <c r="E192">
        <v>4</v>
      </c>
      <c r="F192">
        <v>50</v>
      </c>
      <c r="G192" t="s">
        <v>42</v>
      </c>
      <c r="H192">
        <v>31.057338390000002</v>
      </c>
      <c r="I192" t="str">
        <f>"-102.2747878"</f>
        <v>-102.2747878</v>
      </c>
      <c r="J192">
        <v>31.057488549999999</v>
      </c>
      <c r="K192" t="str">
        <f>"-102.27520299"</f>
        <v>-102.27520299</v>
      </c>
      <c r="L192" t="s">
        <v>65</v>
      </c>
      <c r="Q192">
        <v>5330</v>
      </c>
      <c r="R192" t="s">
        <v>44</v>
      </c>
      <c r="AA192" t="s">
        <v>45</v>
      </c>
      <c r="AB192" t="str">
        <f t="shared" si="23"/>
        <v>08</v>
      </c>
      <c r="AC192">
        <v>19526</v>
      </c>
      <c r="AD192">
        <v>773840</v>
      </c>
      <c r="AE192" t="s">
        <v>79</v>
      </c>
      <c r="AF192" t="s">
        <v>87</v>
      </c>
      <c r="AG192" t="s">
        <v>56</v>
      </c>
      <c r="AH192" t="s">
        <v>165</v>
      </c>
      <c r="AI192" s="7" t="str">
        <f t="shared" si="16"/>
        <v>10510298_08_   8 U_164</v>
      </c>
      <c r="AJ192" t="s">
        <v>51</v>
      </c>
      <c r="AK192" t="s">
        <v>52</v>
      </c>
    </row>
    <row r="193" spans="1:37" x14ac:dyDescent="0.35">
      <c r="A193" s="3">
        <v>10510298</v>
      </c>
      <c r="B193" s="3" t="str">
        <f t="shared" si="17"/>
        <v>08-164-164</v>
      </c>
      <c r="C193">
        <v>164</v>
      </c>
      <c r="D193" t="s">
        <v>63</v>
      </c>
      <c r="E193">
        <v>4</v>
      </c>
      <c r="F193">
        <v>50</v>
      </c>
      <c r="G193" t="s">
        <v>42</v>
      </c>
      <c r="H193">
        <v>31.057338390000002</v>
      </c>
      <c r="I193" t="str">
        <f>"-102.2747878"</f>
        <v>-102.2747878</v>
      </c>
      <c r="J193">
        <v>31.057488549999999</v>
      </c>
      <c r="K193" t="str">
        <f>"-102.27520299"</f>
        <v>-102.27520299</v>
      </c>
      <c r="L193" t="s">
        <v>65</v>
      </c>
      <c r="Q193">
        <v>5330</v>
      </c>
      <c r="R193" t="s">
        <v>44</v>
      </c>
      <c r="AA193" t="s">
        <v>45</v>
      </c>
      <c r="AB193" t="str">
        <f t="shared" si="23"/>
        <v>08</v>
      </c>
      <c r="AC193">
        <v>21736</v>
      </c>
      <c r="AD193">
        <v>617544</v>
      </c>
      <c r="AE193" t="s">
        <v>55</v>
      </c>
      <c r="AF193" t="s">
        <v>66</v>
      </c>
      <c r="AG193" t="s">
        <v>56</v>
      </c>
      <c r="AH193">
        <v>164</v>
      </c>
      <c r="AI193" s="7" t="str">
        <f t="shared" si="16"/>
        <v>10510298_08_164_164</v>
      </c>
      <c r="AJ193" t="s">
        <v>77</v>
      </c>
      <c r="AK193" t="s">
        <v>73</v>
      </c>
    </row>
    <row r="194" spans="1:37" x14ac:dyDescent="0.35">
      <c r="A194" s="3">
        <v>10510298</v>
      </c>
      <c r="B194" s="3" t="str">
        <f t="shared" si="17"/>
        <v>08- 164 U-164</v>
      </c>
      <c r="C194">
        <v>164</v>
      </c>
      <c r="D194" t="s">
        <v>63</v>
      </c>
      <c r="E194">
        <v>4</v>
      </c>
      <c r="F194">
        <v>50</v>
      </c>
      <c r="G194" t="s">
        <v>42</v>
      </c>
      <c r="H194">
        <v>31.057338390000002</v>
      </c>
      <c r="I194" t="str">
        <f>"-102.2747878"</f>
        <v>-102.2747878</v>
      </c>
      <c r="J194">
        <v>31.057488549999999</v>
      </c>
      <c r="K194" t="str">
        <f>"-102.27520299"</f>
        <v>-102.27520299</v>
      </c>
      <c r="L194" t="s">
        <v>65</v>
      </c>
      <c r="Q194">
        <v>5330</v>
      </c>
      <c r="R194" t="s">
        <v>44</v>
      </c>
      <c r="AA194" t="s">
        <v>45</v>
      </c>
      <c r="AB194" t="str">
        <f t="shared" si="23"/>
        <v>08</v>
      </c>
      <c r="AC194">
        <v>21736</v>
      </c>
      <c r="AD194">
        <v>617544</v>
      </c>
      <c r="AE194" t="s">
        <v>55</v>
      </c>
      <c r="AF194" t="s">
        <v>66</v>
      </c>
      <c r="AG194" t="s">
        <v>56</v>
      </c>
      <c r="AH194" t="s">
        <v>166</v>
      </c>
      <c r="AI194" s="7" t="str">
        <f t="shared" ref="AI194:AI257" si="24">A194&amp;"_"&amp;AB194&amp;"_"&amp;AH194&amp;"_"&amp;C194</f>
        <v>10510298_08_ 164 U_164</v>
      </c>
      <c r="AJ194" t="s">
        <v>51</v>
      </c>
      <c r="AK194" t="s">
        <v>52</v>
      </c>
    </row>
    <row r="195" spans="1:37" x14ac:dyDescent="0.35">
      <c r="A195" s="3">
        <v>10510298</v>
      </c>
      <c r="B195" s="3" t="str">
        <f t="shared" ref="B195:B258" si="25">AB195&amp;"-"&amp;AH195&amp;"-"&amp;C195</f>
        <v>08- 164 L-164</v>
      </c>
      <c r="C195">
        <v>164</v>
      </c>
      <c r="D195" t="s">
        <v>63</v>
      </c>
      <c r="E195">
        <v>4</v>
      </c>
      <c r="F195">
        <v>50</v>
      </c>
      <c r="G195" t="s">
        <v>42</v>
      </c>
      <c r="H195">
        <v>31.057338390000002</v>
      </c>
      <c r="I195" t="str">
        <f>"-102.2747878"</f>
        <v>-102.2747878</v>
      </c>
      <c r="J195">
        <v>31.057488549999999</v>
      </c>
      <c r="K195" t="str">
        <f>"-102.27520299"</f>
        <v>-102.27520299</v>
      </c>
      <c r="L195" t="s">
        <v>65</v>
      </c>
      <c r="Q195">
        <v>5330</v>
      </c>
      <c r="R195" t="s">
        <v>44</v>
      </c>
      <c r="AA195" t="s">
        <v>45</v>
      </c>
      <c r="AB195" t="str">
        <f t="shared" si="23"/>
        <v>08</v>
      </c>
      <c r="AC195">
        <v>21737</v>
      </c>
      <c r="AD195">
        <v>773840</v>
      </c>
      <c r="AE195" t="s">
        <v>79</v>
      </c>
      <c r="AF195" t="s">
        <v>66</v>
      </c>
      <c r="AG195" t="s">
        <v>58</v>
      </c>
      <c r="AH195" t="s">
        <v>167</v>
      </c>
      <c r="AI195" s="7" t="str">
        <f t="shared" si="24"/>
        <v>10510298_08_ 164 L_164</v>
      </c>
      <c r="AJ195" t="s">
        <v>51</v>
      </c>
      <c r="AK195" t="s">
        <v>52</v>
      </c>
    </row>
    <row r="196" spans="1:37" x14ac:dyDescent="0.35">
      <c r="A196" s="3">
        <v>10510301</v>
      </c>
      <c r="B196" s="3" t="str">
        <f t="shared" si="25"/>
        <v>7C-4-184</v>
      </c>
      <c r="C196">
        <v>184</v>
      </c>
      <c r="D196" t="s">
        <v>63</v>
      </c>
      <c r="E196">
        <v>4</v>
      </c>
      <c r="F196">
        <v>50</v>
      </c>
      <c r="G196" t="s">
        <v>42</v>
      </c>
      <c r="H196">
        <v>31.036336309999999</v>
      </c>
      <c r="I196" t="str">
        <f>"-102.27903523"</f>
        <v>-102.27903523</v>
      </c>
      <c r="J196">
        <v>31.03648707</v>
      </c>
      <c r="K196" t="str">
        <f>"-102.2794502"</f>
        <v>-102.2794502</v>
      </c>
      <c r="L196" t="s">
        <v>65</v>
      </c>
      <c r="Q196">
        <v>0</v>
      </c>
      <c r="R196" t="s">
        <v>44</v>
      </c>
      <c r="AA196" t="s">
        <v>45</v>
      </c>
      <c r="AB196" t="s">
        <v>46</v>
      </c>
      <c r="AC196" t="str">
        <f>"03762"</f>
        <v>03762</v>
      </c>
      <c r="AD196">
        <v>773840</v>
      </c>
      <c r="AE196" t="s">
        <v>79</v>
      </c>
      <c r="AF196" t="s">
        <v>113</v>
      </c>
      <c r="AG196" t="s">
        <v>49</v>
      </c>
      <c r="AH196">
        <v>4</v>
      </c>
      <c r="AI196" s="7" t="str">
        <f t="shared" si="24"/>
        <v>10510301_7C_4_184</v>
      </c>
      <c r="AJ196" t="s">
        <v>51</v>
      </c>
      <c r="AK196" t="s">
        <v>52</v>
      </c>
    </row>
    <row r="197" spans="1:37" x14ac:dyDescent="0.35">
      <c r="A197" s="3">
        <v>10510301</v>
      </c>
      <c r="B197" s="3" t="str">
        <f t="shared" si="25"/>
        <v>08-184-184</v>
      </c>
      <c r="C197">
        <v>184</v>
      </c>
      <c r="D197" t="s">
        <v>63</v>
      </c>
      <c r="E197">
        <v>4</v>
      </c>
      <c r="F197">
        <v>50</v>
      </c>
      <c r="G197" t="s">
        <v>42</v>
      </c>
      <c r="H197">
        <v>31.036336309999999</v>
      </c>
      <c r="I197" t="str">
        <f>"-102.27903523"</f>
        <v>-102.27903523</v>
      </c>
      <c r="J197">
        <v>31.03648707</v>
      </c>
      <c r="K197" t="str">
        <f>"-102.2794502"</f>
        <v>-102.2794502</v>
      </c>
      <c r="L197" t="s">
        <v>65</v>
      </c>
      <c r="Q197">
        <v>0</v>
      </c>
      <c r="R197" t="s">
        <v>44</v>
      </c>
      <c r="AA197" t="s">
        <v>45</v>
      </c>
      <c r="AB197" t="str">
        <f>"08"</f>
        <v>08</v>
      </c>
      <c r="AC197">
        <v>21736</v>
      </c>
      <c r="AD197">
        <v>617544</v>
      </c>
      <c r="AE197" t="s">
        <v>55</v>
      </c>
      <c r="AF197" t="s">
        <v>66</v>
      </c>
      <c r="AG197" t="s">
        <v>56</v>
      </c>
      <c r="AH197">
        <v>184</v>
      </c>
      <c r="AI197" s="7" t="str">
        <f t="shared" si="24"/>
        <v>10510301_08_184_184</v>
      </c>
      <c r="AJ197" t="s">
        <v>72</v>
      </c>
      <c r="AK197" t="s">
        <v>73</v>
      </c>
    </row>
    <row r="198" spans="1:37" x14ac:dyDescent="0.35">
      <c r="A198" s="3">
        <v>10510301</v>
      </c>
      <c r="B198" s="3" t="str">
        <f t="shared" si="25"/>
        <v>08- 184 G-184</v>
      </c>
      <c r="C198">
        <v>184</v>
      </c>
      <c r="D198" t="s">
        <v>63</v>
      </c>
      <c r="E198">
        <v>4</v>
      </c>
      <c r="F198">
        <v>50</v>
      </c>
      <c r="G198" t="s">
        <v>42</v>
      </c>
      <c r="H198">
        <v>31.036336309999999</v>
      </c>
      <c r="I198" t="str">
        <f>"-102.27903523"</f>
        <v>-102.27903523</v>
      </c>
      <c r="J198">
        <v>31.03648707</v>
      </c>
      <c r="K198" t="str">
        <f>"-102.2794502"</f>
        <v>-102.2794502</v>
      </c>
      <c r="L198" t="s">
        <v>65</v>
      </c>
      <c r="Q198">
        <v>0</v>
      </c>
      <c r="R198" t="s">
        <v>44</v>
      </c>
      <c r="AA198" t="s">
        <v>45</v>
      </c>
      <c r="AB198" t="str">
        <f>"08"</f>
        <v>08</v>
      </c>
      <c r="AC198">
        <v>21736</v>
      </c>
      <c r="AD198">
        <v>617544</v>
      </c>
      <c r="AE198" t="s">
        <v>55</v>
      </c>
      <c r="AF198" t="s">
        <v>66</v>
      </c>
      <c r="AG198" t="s">
        <v>56</v>
      </c>
      <c r="AH198" t="s">
        <v>168</v>
      </c>
      <c r="AI198" s="7" t="str">
        <f t="shared" si="24"/>
        <v>10510301_08_ 184 G_184</v>
      </c>
      <c r="AJ198" t="s">
        <v>51</v>
      </c>
      <c r="AK198" t="s">
        <v>52</v>
      </c>
    </row>
    <row r="199" spans="1:37" x14ac:dyDescent="0.35">
      <c r="A199" s="3">
        <v>10510409</v>
      </c>
      <c r="B199" s="3" t="str">
        <f t="shared" si="25"/>
        <v>7C-1-175</v>
      </c>
      <c r="C199">
        <v>175</v>
      </c>
      <c r="D199" t="s">
        <v>63</v>
      </c>
      <c r="E199">
        <v>4</v>
      </c>
      <c r="F199">
        <v>50</v>
      </c>
      <c r="G199" t="s">
        <v>42</v>
      </c>
      <c r="H199">
        <v>31.059580319999998</v>
      </c>
      <c r="I199" t="str">
        <f>"-102.26620224"</f>
        <v>-102.26620224</v>
      </c>
      <c r="J199">
        <v>31.059730429999998</v>
      </c>
      <c r="K199" t="str">
        <f>"-102.26661718"</f>
        <v>-102.26661718</v>
      </c>
      <c r="L199" t="s">
        <v>65</v>
      </c>
      <c r="Q199">
        <v>5428</v>
      </c>
      <c r="R199" t="s">
        <v>44</v>
      </c>
      <c r="AA199" t="s">
        <v>45</v>
      </c>
      <c r="AB199" t="s">
        <v>46</v>
      </c>
      <c r="AC199" t="str">
        <f>"04030"</f>
        <v>04030</v>
      </c>
      <c r="AD199">
        <v>773840</v>
      </c>
      <c r="AE199" t="s">
        <v>79</v>
      </c>
      <c r="AG199" t="s">
        <v>49</v>
      </c>
      <c r="AH199">
        <v>1</v>
      </c>
      <c r="AI199" s="7" t="str">
        <f t="shared" si="24"/>
        <v>10510409_7C_1_175</v>
      </c>
      <c r="AJ199" t="s">
        <v>51</v>
      </c>
      <c r="AK199" t="s">
        <v>52</v>
      </c>
    </row>
    <row r="200" spans="1:37" x14ac:dyDescent="0.35">
      <c r="A200" s="3">
        <v>10510409</v>
      </c>
      <c r="B200" s="3" t="str">
        <f t="shared" si="25"/>
        <v>08-175-175</v>
      </c>
      <c r="C200">
        <v>175</v>
      </c>
      <c r="D200" t="s">
        <v>63</v>
      </c>
      <c r="E200">
        <v>4</v>
      </c>
      <c r="F200">
        <v>50</v>
      </c>
      <c r="G200" t="s">
        <v>42</v>
      </c>
      <c r="H200">
        <v>31.059580319999998</v>
      </c>
      <c r="I200" t="str">
        <f>"-102.26620224"</f>
        <v>-102.26620224</v>
      </c>
      <c r="J200">
        <v>31.059730429999998</v>
      </c>
      <c r="K200" t="str">
        <f>"-102.26661718"</f>
        <v>-102.26661718</v>
      </c>
      <c r="L200" t="s">
        <v>65</v>
      </c>
      <c r="Q200">
        <v>5428</v>
      </c>
      <c r="R200" t="s">
        <v>44</v>
      </c>
      <c r="AA200" t="s">
        <v>45</v>
      </c>
      <c r="AB200" t="str">
        <f t="shared" ref="AB200:AB209" si="26">"08"</f>
        <v>08</v>
      </c>
      <c r="AC200">
        <v>21736</v>
      </c>
      <c r="AD200">
        <v>617544</v>
      </c>
      <c r="AE200" t="s">
        <v>55</v>
      </c>
      <c r="AF200" t="s">
        <v>66</v>
      </c>
      <c r="AG200" t="s">
        <v>56</v>
      </c>
      <c r="AH200">
        <v>175</v>
      </c>
      <c r="AI200" s="7" t="str">
        <f t="shared" si="24"/>
        <v>10510409_08_175_175</v>
      </c>
      <c r="AJ200" t="s">
        <v>72</v>
      </c>
      <c r="AK200" t="s">
        <v>73</v>
      </c>
    </row>
    <row r="201" spans="1:37" x14ac:dyDescent="0.35">
      <c r="A201" s="3">
        <v>10534153</v>
      </c>
      <c r="B201" s="3" t="str">
        <f t="shared" si="25"/>
        <v>08-205-1</v>
      </c>
      <c r="C201">
        <v>1</v>
      </c>
      <c r="D201" t="s">
        <v>76</v>
      </c>
      <c r="E201">
        <v>21</v>
      </c>
      <c r="F201">
        <v>55</v>
      </c>
      <c r="G201" t="s">
        <v>64</v>
      </c>
      <c r="H201">
        <v>2968434.14271654</v>
      </c>
      <c r="I201" t="str">
        <f>"2287325.12204725"</f>
        <v>2287325.12204725</v>
      </c>
      <c r="J201">
        <v>31.059631719999999</v>
      </c>
      <c r="K201" t="str">
        <f>"-102.28130569"</f>
        <v>-102.28130569</v>
      </c>
      <c r="L201" t="s">
        <v>65</v>
      </c>
      <c r="M201">
        <v>844559</v>
      </c>
      <c r="N201">
        <v>617544</v>
      </c>
      <c r="O201" t="s">
        <v>55</v>
      </c>
      <c r="P201" t="s">
        <v>169</v>
      </c>
      <c r="Q201">
        <v>5300</v>
      </c>
      <c r="R201" t="s">
        <v>44</v>
      </c>
      <c r="S201">
        <v>406</v>
      </c>
      <c r="T201" t="s">
        <v>170</v>
      </c>
      <c r="U201">
        <v>31</v>
      </c>
      <c r="V201">
        <v>21</v>
      </c>
      <c r="W201">
        <v>2744</v>
      </c>
      <c r="X201" t="s">
        <v>69</v>
      </c>
      <c r="Y201">
        <v>1331</v>
      </c>
      <c r="Z201" t="s">
        <v>171</v>
      </c>
      <c r="AA201" t="s">
        <v>45</v>
      </c>
      <c r="AB201" t="str">
        <f t="shared" si="26"/>
        <v>08</v>
      </c>
      <c r="AC201">
        <v>21736</v>
      </c>
      <c r="AD201">
        <v>617544</v>
      </c>
      <c r="AE201" t="s">
        <v>55</v>
      </c>
      <c r="AF201" t="s">
        <v>66</v>
      </c>
      <c r="AG201" t="s">
        <v>56</v>
      </c>
      <c r="AH201">
        <v>205</v>
      </c>
      <c r="AI201" s="7" t="str">
        <f t="shared" si="24"/>
        <v>10534153_08_205_1</v>
      </c>
      <c r="AJ201" t="s">
        <v>51</v>
      </c>
      <c r="AK201" t="s">
        <v>52</v>
      </c>
    </row>
    <row r="202" spans="1:37" x14ac:dyDescent="0.35">
      <c r="A202" s="3">
        <v>10534153</v>
      </c>
      <c r="B202" s="3" t="str">
        <f t="shared" si="25"/>
        <v>08-1-1</v>
      </c>
      <c r="C202">
        <v>1</v>
      </c>
      <c r="D202" t="s">
        <v>76</v>
      </c>
      <c r="E202">
        <v>21</v>
      </c>
      <c r="F202">
        <v>55</v>
      </c>
      <c r="G202" t="s">
        <v>64</v>
      </c>
      <c r="H202">
        <v>2968434.14271654</v>
      </c>
      <c r="I202" t="str">
        <f>"2287325.12204725"</f>
        <v>2287325.12204725</v>
      </c>
      <c r="J202">
        <v>31.059631719999999</v>
      </c>
      <c r="K202" t="str">
        <f>"-102.28130569"</f>
        <v>-102.28130569</v>
      </c>
      <c r="L202" t="s">
        <v>65</v>
      </c>
      <c r="M202">
        <v>844559</v>
      </c>
      <c r="N202">
        <v>617544</v>
      </c>
      <c r="O202" t="s">
        <v>55</v>
      </c>
      <c r="P202" t="s">
        <v>169</v>
      </c>
      <c r="Q202">
        <v>5300</v>
      </c>
      <c r="R202" t="s">
        <v>44</v>
      </c>
      <c r="S202">
        <v>406</v>
      </c>
      <c r="T202" t="s">
        <v>170</v>
      </c>
      <c r="U202">
        <v>31</v>
      </c>
      <c r="V202">
        <v>21</v>
      </c>
      <c r="W202">
        <v>2744</v>
      </c>
      <c r="X202" t="s">
        <v>69</v>
      </c>
      <c r="Y202">
        <v>1331</v>
      </c>
      <c r="Z202" t="s">
        <v>171</v>
      </c>
      <c r="AA202" t="s">
        <v>45</v>
      </c>
      <c r="AB202" t="str">
        <f t="shared" si="26"/>
        <v>08</v>
      </c>
      <c r="AC202">
        <v>51443</v>
      </c>
      <c r="AD202">
        <v>617544</v>
      </c>
      <c r="AE202" t="s">
        <v>55</v>
      </c>
      <c r="AF202" t="s">
        <v>172</v>
      </c>
      <c r="AG202" t="s">
        <v>173</v>
      </c>
      <c r="AH202">
        <v>1</v>
      </c>
      <c r="AI202" s="7" t="str">
        <f t="shared" si="24"/>
        <v>10534153_08_1_1</v>
      </c>
      <c r="AJ202" t="s">
        <v>77</v>
      </c>
      <c r="AK202" t="s">
        <v>73</v>
      </c>
    </row>
    <row r="203" spans="1:37" x14ac:dyDescent="0.35">
      <c r="A203" s="3">
        <v>10534154</v>
      </c>
      <c r="B203" s="3" t="str">
        <f t="shared" si="25"/>
        <v>08-206-206</v>
      </c>
      <c r="C203">
        <v>206</v>
      </c>
      <c r="D203" t="s">
        <v>63</v>
      </c>
      <c r="E203">
        <v>4</v>
      </c>
      <c r="F203">
        <v>15</v>
      </c>
      <c r="G203" t="s">
        <v>40</v>
      </c>
      <c r="H203">
        <v>2966574.63779527</v>
      </c>
      <c r="I203" t="str">
        <f>"2289142.66896325"</f>
        <v>2289142.66896325</v>
      </c>
      <c r="J203">
        <v>31.054612930000001</v>
      </c>
      <c r="K203" t="str">
        <f>"-102.27536784"</f>
        <v>-102.27536784</v>
      </c>
      <c r="L203" t="s">
        <v>65</v>
      </c>
      <c r="M203">
        <v>172922</v>
      </c>
      <c r="N203">
        <v>773840</v>
      </c>
      <c r="O203" t="s">
        <v>79</v>
      </c>
      <c r="P203" t="s">
        <v>66</v>
      </c>
      <c r="Q203">
        <v>5312</v>
      </c>
      <c r="R203" t="s">
        <v>44</v>
      </c>
      <c r="AA203" t="s">
        <v>45</v>
      </c>
      <c r="AB203" t="str">
        <f t="shared" si="26"/>
        <v>08</v>
      </c>
      <c r="AC203">
        <v>21736</v>
      </c>
      <c r="AD203">
        <v>617544</v>
      </c>
      <c r="AE203" t="s">
        <v>55</v>
      </c>
      <c r="AF203" t="s">
        <v>66</v>
      </c>
      <c r="AG203" t="s">
        <v>56</v>
      </c>
      <c r="AH203">
        <v>206</v>
      </c>
      <c r="AI203" s="7" t="str">
        <f t="shared" si="24"/>
        <v>10534154_08_206_206</v>
      </c>
      <c r="AJ203" t="s">
        <v>72</v>
      </c>
      <c r="AK203" t="s">
        <v>73</v>
      </c>
    </row>
    <row r="204" spans="1:37" x14ac:dyDescent="0.35">
      <c r="A204" s="3">
        <v>10534161</v>
      </c>
      <c r="B204" s="3" t="str">
        <f t="shared" si="25"/>
        <v>08-207-207</v>
      </c>
      <c r="C204">
        <v>207</v>
      </c>
      <c r="D204" t="s">
        <v>63</v>
      </c>
      <c r="E204">
        <v>4</v>
      </c>
      <c r="F204">
        <v>15</v>
      </c>
      <c r="G204" t="s">
        <v>40</v>
      </c>
      <c r="H204">
        <v>2962162.6788057699</v>
      </c>
      <c r="I204" t="str">
        <f>"2290623.09416011"</f>
        <v>2290623.09416011</v>
      </c>
      <c r="J204">
        <v>31.04254418</v>
      </c>
      <c r="K204" t="str">
        <f>"-102.27034156"</f>
        <v>-102.27034156</v>
      </c>
      <c r="L204" t="s">
        <v>65</v>
      </c>
      <c r="M204">
        <v>172923</v>
      </c>
      <c r="N204">
        <v>773840</v>
      </c>
      <c r="O204" t="s">
        <v>79</v>
      </c>
      <c r="P204" t="s">
        <v>66</v>
      </c>
      <c r="Q204">
        <v>5550</v>
      </c>
      <c r="R204" t="s">
        <v>44</v>
      </c>
      <c r="AA204" t="s">
        <v>45</v>
      </c>
      <c r="AB204" t="str">
        <f t="shared" si="26"/>
        <v>08</v>
      </c>
      <c r="AC204">
        <v>21736</v>
      </c>
      <c r="AD204">
        <v>617544</v>
      </c>
      <c r="AE204" t="s">
        <v>55</v>
      </c>
      <c r="AF204" t="s">
        <v>66</v>
      </c>
      <c r="AG204" t="s">
        <v>56</v>
      </c>
      <c r="AH204">
        <v>207</v>
      </c>
      <c r="AI204" s="7" t="str">
        <f t="shared" si="24"/>
        <v>10534161_08_207_207</v>
      </c>
      <c r="AJ204" t="s">
        <v>72</v>
      </c>
      <c r="AK204" t="s">
        <v>73</v>
      </c>
    </row>
    <row r="205" spans="1:37" x14ac:dyDescent="0.35">
      <c r="A205" s="3">
        <v>10535606</v>
      </c>
      <c r="B205" s="3" t="str">
        <f t="shared" si="25"/>
        <v>08- 194R -194R</v>
      </c>
      <c r="C205" t="s">
        <v>174</v>
      </c>
      <c r="D205" t="s">
        <v>142</v>
      </c>
      <c r="E205">
        <v>11</v>
      </c>
      <c r="F205">
        <v>15</v>
      </c>
      <c r="G205" t="s">
        <v>40</v>
      </c>
      <c r="H205">
        <v>2961287.4537401702</v>
      </c>
      <c r="I205" t="str">
        <f>"2290870.83989501"</f>
        <v>2290870.83989501</v>
      </c>
      <c r="J205">
        <v>31.040129329999999</v>
      </c>
      <c r="K205" t="str">
        <f>"-102.26947925"</f>
        <v>-102.26947925</v>
      </c>
      <c r="L205" t="s">
        <v>65</v>
      </c>
      <c r="M205">
        <v>357295</v>
      </c>
      <c r="N205">
        <v>774720</v>
      </c>
      <c r="O205" t="s">
        <v>60</v>
      </c>
      <c r="P205" t="s">
        <v>66</v>
      </c>
      <c r="Q205">
        <v>5602</v>
      </c>
      <c r="R205" t="s">
        <v>44</v>
      </c>
      <c r="S205">
        <v>0</v>
      </c>
      <c r="T205" t="s">
        <v>175</v>
      </c>
      <c r="U205">
        <v>31</v>
      </c>
      <c r="V205">
        <v>24</v>
      </c>
      <c r="W205">
        <v>8839</v>
      </c>
      <c r="X205" t="s">
        <v>69</v>
      </c>
      <c r="Y205">
        <v>560</v>
      </c>
      <c r="Z205" t="s">
        <v>68</v>
      </c>
      <c r="AA205" t="s">
        <v>45</v>
      </c>
      <c r="AB205" t="str">
        <f t="shared" si="26"/>
        <v>08</v>
      </c>
      <c r="AC205">
        <v>21736</v>
      </c>
      <c r="AD205">
        <v>617544</v>
      </c>
      <c r="AE205" t="s">
        <v>55</v>
      </c>
      <c r="AF205" t="s">
        <v>66</v>
      </c>
      <c r="AG205" t="s">
        <v>56</v>
      </c>
      <c r="AH205" t="s">
        <v>176</v>
      </c>
      <c r="AI205" s="7" t="str">
        <f t="shared" si="24"/>
        <v>10535606_08_ 194R _194R</v>
      </c>
      <c r="AJ205" t="s">
        <v>77</v>
      </c>
      <c r="AK205" t="s">
        <v>73</v>
      </c>
    </row>
    <row r="206" spans="1:37" x14ac:dyDescent="0.35">
      <c r="A206" s="3">
        <v>10535606</v>
      </c>
      <c r="B206" s="3" t="str">
        <f t="shared" si="25"/>
        <v>08- 194RU-194R</v>
      </c>
      <c r="C206" t="s">
        <v>174</v>
      </c>
      <c r="D206" t="s">
        <v>142</v>
      </c>
      <c r="E206">
        <v>11</v>
      </c>
      <c r="F206">
        <v>15</v>
      </c>
      <c r="G206" t="s">
        <v>40</v>
      </c>
      <c r="H206">
        <v>2961287.4537401702</v>
      </c>
      <c r="I206" t="str">
        <f>"2290870.83989501"</f>
        <v>2290870.83989501</v>
      </c>
      <c r="J206">
        <v>31.040129329999999</v>
      </c>
      <c r="K206" t="str">
        <f>"-102.26947925"</f>
        <v>-102.26947925</v>
      </c>
      <c r="L206" t="s">
        <v>65</v>
      </c>
      <c r="M206">
        <v>357295</v>
      </c>
      <c r="N206">
        <v>774720</v>
      </c>
      <c r="O206" t="s">
        <v>60</v>
      </c>
      <c r="P206" t="s">
        <v>66</v>
      </c>
      <c r="Q206">
        <v>5602</v>
      </c>
      <c r="R206" t="s">
        <v>44</v>
      </c>
      <c r="S206">
        <v>0</v>
      </c>
      <c r="T206" t="s">
        <v>175</v>
      </c>
      <c r="U206">
        <v>31</v>
      </c>
      <c r="V206">
        <v>24</v>
      </c>
      <c r="W206">
        <v>8839</v>
      </c>
      <c r="X206" t="s">
        <v>69</v>
      </c>
      <c r="Y206">
        <v>560</v>
      </c>
      <c r="Z206" t="s">
        <v>68</v>
      </c>
      <c r="AA206" t="s">
        <v>45</v>
      </c>
      <c r="AB206" t="str">
        <f t="shared" si="26"/>
        <v>08</v>
      </c>
      <c r="AC206">
        <v>21736</v>
      </c>
      <c r="AD206">
        <v>617544</v>
      </c>
      <c r="AE206" t="s">
        <v>55</v>
      </c>
      <c r="AF206" t="s">
        <v>66</v>
      </c>
      <c r="AG206" t="s">
        <v>56</v>
      </c>
      <c r="AH206" t="s">
        <v>177</v>
      </c>
      <c r="AI206" s="7" t="str">
        <f t="shared" si="24"/>
        <v>10535606_08_ 194RU_194R</v>
      </c>
      <c r="AJ206" t="s">
        <v>51</v>
      </c>
      <c r="AK206" t="s">
        <v>52</v>
      </c>
    </row>
    <row r="207" spans="1:37" x14ac:dyDescent="0.35">
      <c r="A207" s="3">
        <v>10535606</v>
      </c>
      <c r="B207" s="3" t="str">
        <f t="shared" si="25"/>
        <v>08- 194RL-194R</v>
      </c>
      <c r="C207" t="s">
        <v>174</v>
      </c>
      <c r="D207" t="s">
        <v>142</v>
      </c>
      <c r="E207">
        <v>11</v>
      </c>
      <c r="F207">
        <v>15</v>
      </c>
      <c r="G207" t="s">
        <v>40</v>
      </c>
      <c r="H207">
        <v>2961287.4537401702</v>
      </c>
      <c r="I207" t="str">
        <f>"2290870.83989501"</f>
        <v>2290870.83989501</v>
      </c>
      <c r="J207">
        <v>31.040129329999999</v>
      </c>
      <c r="K207" t="str">
        <f>"-102.26947925"</f>
        <v>-102.26947925</v>
      </c>
      <c r="L207" t="s">
        <v>65</v>
      </c>
      <c r="M207">
        <v>357295</v>
      </c>
      <c r="N207">
        <v>774720</v>
      </c>
      <c r="O207" t="s">
        <v>60</v>
      </c>
      <c r="P207" t="s">
        <v>66</v>
      </c>
      <c r="Q207">
        <v>5602</v>
      </c>
      <c r="R207" t="s">
        <v>44</v>
      </c>
      <c r="S207">
        <v>0</v>
      </c>
      <c r="T207" t="s">
        <v>175</v>
      </c>
      <c r="U207">
        <v>31</v>
      </c>
      <c r="V207">
        <v>24</v>
      </c>
      <c r="W207">
        <v>8839</v>
      </c>
      <c r="X207" t="s">
        <v>69</v>
      </c>
      <c r="Y207">
        <v>560</v>
      </c>
      <c r="Z207" t="s">
        <v>68</v>
      </c>
      <c r="AA207" t="s">
        <v>45</v>
      </c>
      <c r="AB207" t="str">
        <f t="shared" si="26"/>
        <v>08</v>
      </c>
      <c r="AC207">
        <v>32570</v>
      </c>
      <c r="AD207">
        <v>617544</v>
      </c>
      <c r="AE207" t="s">
        <v>55</v>
      </c>
      <c r="AF207" t="s">
        <v>66</v>
      </c>
      <c r="AG207" t="s">
        <v>58</v>
      </c>
      <c r="AH207" t="s">
        <v>178</v>
      </c>
      <c r="AI207" s="7" t="str">
        <f t="shared" si="24"/>
        <v>10535606_08_ 194RL_194R</v>
      </c>
      <c r="AJ207" t="s">
        <v>51</v>
      </c>
      <c r="AK207" t="s">
        <v>52</v>
      </c>
    </row>
    <row r="208" spans="1:37" x14ac:dyDescent="0.35">
      <c r="A208" s="3">
        <v>10535646</v>
      </c>
      <c r="B208" s="3" t="str">
        <f t="shared" si="25"/>
        <v>08- 188GR-188GR</v>
      </c>
      <c r="C208" t="s">
        <v>179</v>
      </c>
      <c r="D208" t="s">
        <v>142</v>
      </c>
      <c r="E208">
        <v>11</v>
      </c>
      <c r="F208">
        <v>15</v>
      </c>
      <c r="G208" t="s">
        <v>40</v>
      </c>
      <c r="H208">
        <v>2963569.7089895001</v>
      </c>
      <c r="I208" t="str">
        <f>"2290689.41338582"</f>
        <v>2290689.41338582</v>
      </c>
      <c r="J208">
        <v>31.046423529999998</v>
      </c>
      <c r="K208" t="str">
        <f>"-102.27022178"</f>
        <v>-102.27022178</v>
      </c>
      <c r="L208" t="s">
        <v>65</v>
      </c>
      <c r="M208">
        <v>361058</v>
      </c>
      <c r="N208">
        <v>774720</v>
      </c>
      <c r="O208" t="s">
        <v>60</v>
      </c>
      <c r="P208" t="s">
        <v>66</v>
      </c>
      <c r="Q208">
        <v>5595</v>
      </c>
      <c r="R208" t="s">
        <v>44</v>
      </c>
      <c r="S208">
        <v>407</v>
      </c>
      <c r="T208" t="s">
        <v>170</v>
      </c>
      <c r="U208">
        <v>31</v>
      </c>
      <c r="V208">
        <v>23</v>
      </c>
      <c r="W208">
        <v>5065</v>
      </c>
      <c r="X208" t="s">
        <v>69</v>
      </c>
      <c r="Y208">
        <v>835</v>
      </c>
      <c r="Z208" t="s">
        <v>171</v>
      </c>
      <c r="AA208" t="s">
        <v>45</v>
      </c>
      <c r="AB208" t="str">
        <f t="shared" si="26"/>
        <v>08</v>
      </c>
      <c r="AC208">
        <v>21736</v>
      </c>
      <c r="AD208">
        <v>617544</v>
      </c>
      <c r="AE208" t="s">
        <v>55</v>
      </c>
      <c r="AF208" t="s">
        <v>66</v>
      </c>
      <c r="AG208" t="s">
        <v>56</v>
      </c>
      <c r="AH208" t="s">
        <v>180</v>
      </c>
      <c r="AI208" s="7" t="str">
        <f t="shared" si="24"/>
        <v>10535646_08_ 188GR_188GR</v>
      </c>
      <c r="AJ208" t="s">
        <v>86</v>
      </c>
      <c r="AK208" t="s">
        <v>73</v>
      </c>
    </row>
    <row r="209" spans="1:41" x14ac:dyDescent="0.35">
      <c r="A209" s="3">
        <v>10535647</v>
      </c>
      <c r="B209" s="3" t="str">
        <f t="shared" si="25"/>
        <v>08-208-208</v>
      </c>
      <c r="C209">
        <v>208</v>
      </c>
      <c r="D209" t="s">
        <v>76</v>
      </c>
      <c r="E209">
        <v>21</v>
      </c>
      <c r="F209">
        <v>15</v>
      </c>
      <c r="G209" t="s">
        <v>40</v>
      </c>
      <c r="H209">
        <v>2967858.7798556401</v>
      </c>
      <c r="I209" t="str">
        <f>"2293237.93733595"</f>
        <v>2293237.93733595</v>
      </c>
      <c r="J209">
        <v>31.058381409999999</v>
      </c>
      <c r="K209" t="str">
        <f>"-102.26234922"</f>
        <v>-102.26234922</v>
      </c>
      <c r="L209" t="s">
        <v>65</v>
      </c>
      <c r="M209">
        <v>361059</v>
      </c>
      <c r="N209">
        <v>774720</v>
      </c>
      <c r="O209" t="s">
        <v>60</v>
      </c>
      <c r="P209" t="s">
        <v>66</v>
      </c>
      <c r="Q209">
        <v>5680</v>
      </c>
      <c r="R209" t="s">
        <v>44</v>
      </c>
      <c r="T209" t="s">
        <v>175</v>
      </c>
      <c r="U209">
        <v>31</v>
      </c>
      <c r="V209">
        <v>23</v>
      </c>
      <c r="W209">
        <v>370</v>
      </c>
      <c r="X209" t="s">
        <v>69</v>
      </c>
      <c r="Y209">
        <v>660</v>
      </c>
      <c r="Z209" t="s">
        <v>68</v>
      </c>
      <c r="AA209" t="s">
        <v>45</v>
      </c>
      <c r="AB209" t="str">
        <f t="shared" si="26"/>
        <v>08</v>
      </c>
      <c r="AC209">
        <v>21736</v>
      </c>
      <c r="AD209">
        <v>617544</v>
      </c>
      <c r="AE209" t="s">
        <v>55</v>
      </c>
      <c r="AF209" t="s">
        <v>66</v>
      </c>
      <c r="AG209" t="s">
        <v>56</v>
      </c>
      <c r="AH209">
        <v>208</v>
      </c>
      <c r="AI209" s="7" t="str">
        <f t="shared" si="24"/>
        <v>10535647_08_208_208</v>
      </c>
      <c r="AJ209" t="s">
        <v>86</v>
      </c>
      <c r="AK209" t="s">
        <v>73</v>
      </c>
    </row>
    <row r="210" spans="1:41" x14ac:dyDescent="0.35">
      <c r="A210" s="3">
        <v>10535868</v>
      </c>
      <c r="B210" s="3" t="str">
        <f t="shared" si="25"/>
        <v>7C-1-1</v>
      </c>
      <c r="C210">
        <v>1</v>
      </c>
      <c r="D210" t="s">
        <v>41</v>
      </c>
      <c r="E210">
        <v>7</v>
      </c>
      <c r="F210">
        <v>15</v>
      </c>
      <c r="G210" t="s">
        <v>40</v>
      </c>
      <c r="H210">
        <v>31.038076499999999</v>
      </c>
      <c r="I210" t="str">
        <f>"-102.2309637"</f>
        <v>-102.2309637</v>
      </c>
      <c r="J210">
        <v>31.03822757</v>
      </c>
      <c r="K210" t="str">
        <f>"-102.23137753"</f>
        <v>-102.23137753</v>
      </c>
      <c r="L210" t="s">
        <v>43</v>
      </c>
      <c r="M210">
        <v>377775</v>
      </c>
      <c r="N210">
        <v>770731</v>
      </c>
      <c r="O210" t="s">
        <v>181</v>
      </c>
      <c r="P210" t="s">
        <v>182</v>
      </c>
      <c r="Q210">
        <v>5573</v>
      </c>
      <c r="R210" t="s">
        <v>44</v>
      </c>
      <c r="T210" t="s">
        <v>183</v>
      </c>
      <c r="U210">
        <v>31</v>
      </c>
      <c r="V210">
        <v>27</v>
      </c>
      <c r="W210">
        <v>660</v>
      </c>
      <c r="X210" t="s">
        <v>171</v>
      </c>
      <c r="Y210">
        <v>9468</v>
      </c>
      <c r="Z210" t="s">
        <v>184</v>
      </c>
      <c r="AA210" t="s">
        <v>45</v>
      </c>
      <c r="AB210" t="s">
        <v>46</v>
      </c>
      <c r="AC210">
        <v>13065</v>
      </c>
      <c r="AD210">
        <v>770731</v>
      </c>
      <c r="AE210" t="s">
        <v>181</v>
      </c>
      <c r="AF210" t="s">
        <v>182</v>
      </c>
      <c r="AG210" t="s">
        <v>185</v>
      </c>
      <c r="AH210">
        <v>1</v>
      </c>
      <c r="AI210" s="7" t="str">
        <f t="shared" si="24"/>
        <v>10535868_7C_1_1</v>
      </c>
      <c r="AJ210" t="s">
        <v>51</v>
      </c>
      <c r="AK210" t="s">
        <v>52</v>
      </c>
      <c r="AL210" s="1">
        <v>36405</v>
      </c>
      <c r="AM210">
        <v>5573</v>
      </c>
    </row>
    <row r="211" spans="1:41" x14ac:dyDescent="0.35">
      <c r="A211" s="3">
        <v>10535868</v>
      </c>
      <c r="B211" s="3" t="str">
        <f t="shared" si="25"/>
        <v>08-1-1</v>
      </c>
      <c r="C211">
        <v>1</v>
      </c>
      <c r="D211" t="s">
        <v>41</v>
      </c>
      <c r="E211">
        <v>7</v>
      </c>
      <c r="F211">
        <v>15</v>
      </c>
      <c r="G211" t="s">
        <v>40</v>
      </c>
      <c r="H211">
        <v>31.038076499999999</v>
      </c>
      <c r="I211" t="str">
        <f>"-102.2309637"</f>
        <v>-102.2309637</v>
      </c>
      <c r="J211">
        <v>31.03822757</v>
      </c>
      <c r="K211" t="str">
        <f>"-102.23137753"</f>
        <v>-102.23137753</v>
      </c>
      <c r="L211" t="s">
        <v>43</v>
      </c>
      <c r="M211">
        <v>377775</v>
      </c>
      <c r="N211">
        <v>770731</v>
      </c>
      <c r="O211" t="s">
        <v>181</v>
      </c>
      <c r="P211" t="s">
        <v>182</v>
      </c>
      <c r="Q211">
        <v>5573</v>
      </c>
      <c r="R211" t="s">
        <v>44</v>
      </c>
      <c r="T211" t="s">
        <v>183</v>
      </c>
      <c r="U211">
        <v>31</v>
      </c>
      <c r="V211">
        <v>27</v>
      </c>
      <c r="W211">
        <v>660</v>
      </c>
      <c r="X211" t="s">
        <v>171</v>
      </c>
      <c r="Y211">
        <v>9468</v>
      </c>
      <c r="Z211" t="s">
        <v>184</v>
      </c>
      <c r="AA211" t="s">
        <v>45</v>
      </c>
      <c r="AB211" t="str">
        <f>"08"</f>
        <v>08</v>
      </c>
      <c r="AC211">
        <v>32952</v>
      </c>
      <c r="AD211">
        <v>770731</v>
      </c>
      <c r="AE211" t="s">
        <v>181</v>
      </c>
      <c r="AF211" t="s">
        <v>182</v>
      </c>
      <c r="AG211" t="s">
        <v>186</v>
      </c>
      <c r="AH211">
        <v>1</v>
      </c>
      <c r="AI211" s="7" t="str">
        <f t="shared" si="24"/>
        <v>10535868_08_1_1</v>
      </c>
      <c r="AJ211" t="s">
        <v>51</v>
      </c>
      <c r="AK211" t="s">
        <v>52</v>
      </c>
      <c r="AL211" s="1">
        <v>36405</v>
      </c>
      <c r="AM211">
        <v>5573</v>
      </c>
    </row>
    <row r="212" spans="1:41" x14ac:dyDescent="0.35">
      <c r="A212" s="3">
        <v>10535934</v>
      </c>
      <c r="B212" s="3" t="str">
        <f t="shared" si="25"/>
        <v>7C-1-1</v>
      </c>
      <c r="C212">
        <v>1</v>
      </c>
      <c r="D212" t="s">
        <v>41</v>
      </c>
      <c r="E212">
        <v>7</v>
      </c>
      <c r="F212">
        <v>15</v>
      </c>
      <c r="G212" t="s">
        <v>40</v>
      </c>
      <c r="H212">
        <v>31.036365400000001</v>
      </c>
      <c r="I212" t="str">
        <f>"-102.2284972"</f>
        <v>-102.2284972</v>
      </c>
      <c r="J212">
        <v>31.036516550000002</v>
      </c>
      <c r="K212" t="str">
        <f>"-102.22891096"</f>
        <v>-102.22891096</v>
      </c>
      <c r="L212" t="s">
        <v>43</v>
      </c>
      <c r="M212">
        <v>384325</v>
      </c>
      <c r="N212">
        <v>770731</v>
      </c>
      <c r="O212" t="s">
        <v>181</v>
      </c>
      <c r="P212" t="s">
        <v>187</v>
      </c>
      <c r="Q212">
        <v>5543</v>
      </c>
      <c r="R212" t="s">
        <v>44</v>
      </c>
      <c r="T212" t="s">
        <v>188</v>
      </c>
      <c r="U212">
        <v>31</v>
      </c>
      <c r="V212">
        <v>28</v>
      </c>
      <c r="W212">
        <v>483</v>
      </c>
      <c r="X212" t="s">
        <v>68</v>
      </c>
      <c r="Y212">
        <v>467</v>
      </c>
      <c r="Z212" t="s">
        <v>189</v>
      </c>
      <c r="AA212" t="s">
        <v>45</v>
      </c>
      <c r="AB212" t="s">
        <v>46</v>
      </c>
      <c r="AC212">
        <v>13024</v>
      </c>
      <c r="AD212">
        <v>770731</v>
      </c>
      <c r="AE212" t="s">
        <v>181</v>
      </c>
      <c r="AF212" t="s">
        <v>187</v>
      </c>
      <c r="AG212" t="s">
        <v>185</v>
      </c>
      <c r="AH212">
        <v>1</v>
      </c>
      <c r="AI212" s="7" t="str">
        <f t="shared" si="24"/>
        <v>10535934_7C_1_1</v>
      </c>
      <c r="AJ212" t="s">
        <v>51</v>
      </c>
      <c r="AK212" t="s">
        <v>52</v>
      </c>
      <c r="AL212" s="1">
        <v>38022</v>
      </c>
      <c r="AM212">
        <v>5543</v>
      </c>
    </row>
    <row r="213" spans="1:41" x14ac:dyDescent="0.35">
      <c r="A213" s="3">
        <v>10535944</v>
      </c>
      <c r="B213" s="3" t="str">
        <f t="shared" si="25"/>
        <v>7C-1-1</v>
      </c>
      <c r="C213">
        <v>1</v>
      </c>
      <c r="D213" t="s">
        <v>41</v>
      </c>
      <c r="E213">
        <v>7</v>
      </c>
      <c r="F213">
        <v>15</v>
      </c>
      <c r="G213" t="s">
        <v>40</v>
      </c>
      <c r="H213">
        <v>31.036148699999998</v>
      </c>
      <c r="I213" t="str">
        <f>"-102.2255567"</f>
        <v>-102.2255567</v>
      </c>
      <c r="J213">
        <v>31.036299880000001</v>
      </c>
      <c r="K213" t="str">
        <f>"-102.2259704"</f>
        <v>-102.2259704</v>
      </c>
      <c r="L213" t="s">
        <v>43</v>
      </c>
      <c r="M213">
        <v>386356</v>
      </c>
      <c r="N213">
        <v>770731</v>
      </c>
      <c r="O213" t="s">
        <v>181</v>
      </c>
      <c r="P213" t="s">
        <v>190</v>
      </c>
      <c r="Q213">
        <v>5470</v>
      </c>
      <c r="R213" t="s">
        <v>44</v>
      </c>
      <c r="S213">
        <v>5240</v>
      </c>
      <c r="T213" t="s">
        <v>188</v>
      </c>
      <c r="U213">
        <v>31</v>
      </c>
      <c r="V213">
        <v>28</v>
      </c>
      <c r="W213">
        <v>467</v>
      </c>
      <c r="X213" t="s">
        <v>191</v>
      </c>
      <c r="Y213">
        <v>1140</v>
      </c>
      <c r="Z213" t="s">
        <v>171</v>
      </c>
      <c r="AA213" t="s">
        <v>45</v>
      </c>
      <c r="AB213" t="s">
        <v>46</v>
      </c>
      <c r="AC213">
        <v>13061</v>
      </c>
      <c r="AD213">
        <v>770731</v>
      </c>
      <c r="AE213" t="s">
        <v>181</v>
      </c>
      <c r="AF213" t="s">
        <v>190</v>
      </c>
      <c r="AG213" t="s">
        <v>185</v>
      </c>
      <c r="AH213">
        <v>1</v>
      </c>
      <c r="AI213" s="7" t="str">
        <f t="shared" si="24"/>
        <v>10535944_7C_1_1</v>
      </c>
      <c r="AJ213" t="s">
        <v>51</v>
      </c>
      <c r="AK213" t="s">
        <v>52</v>
      </c>
      <c r="AL213" s="1">
        <v>36419</v>
      </c>
      <c r="AM213">
        <v>5470</v>
      </c>
    </row>
    <row r="214" spans="1:41" x14ac:dyDescent="0.35">
      <c r="A214" s="3">
        <v>10535977</v>
      </c>
      <c r="B214" s="3" t="str">
        <f t="shared" si="25"/>
        <v>--1</v>
      </c>
      <c r="C214">
        <v>1</v>
      </c>
      <c r="D214" t="s">
        <v>39</v>
      </c>
      <c r="E214">
        <v>3</v>
      </c>
      <c r="F214">
        <v>15</v>
      </c>
      <c r="G214" t="s">
        <v>40</v>
      </c>
      <c r="H214">
        <v>31.0400606</v>
      </c>
      <c r="I214" t="str">
        <f>"-102.2398424"</f>
        <v>-102.2398424</v>
      </c>
      <c r="J214">
        <v>31.040211530000001</v>
      </c>
      <c r="K214" t="str">
        <f>"-102.24025642"</f>
        <v>-102.24025642</v>
      </c>
      <c r="L214" t="s">
        <v>149</v>
      </c>
      <c r="M214">
        <v>390080</v>
      </c>
      <c r="N214">
        <v>770731</v>
      </c>
      <c r="O214" t="s">
        <v>181</v>
      </c>
      <c r="P214" t="s">
        <v>192</v>
      </c>
      <c r="Q214">
        <v>0</v>
      </c>
      <c r="R214" t="s">
        <v>44</v>
      </c>
      <c r="S214">
        <v>4939</v>
      </c>
      <c r="T214" t="s">
        <v>193</v>
      </c>
      <c r="U214">
        <v>31</v>
      </c>
      <c r="V214">
        <v>26</v>
      </c>
      <c r="W214">
        <v>467</v>
      </c>
      <c r="X214" t="s">
        <v>194</v>
      </c>
      <c r="Y214">
        <v>467</v>
      </c>
      <c r="Z214" t="s">
        <v>195</v>
      </c>
      <c r="AI214" s="7" t="str">
        <f t="shared" si="24"/>
        <v>10535977___1</v>
      </c>
      <c r="AL214" s="1">
        <v>34257</v>
      </c>
      <c r="AM214">
        <v>5450</v>
      </c>
      <c r="AN214" t="s">
        <v>196</v>
      </c>
      <c r="AO214" t="s">
        <v>192</v>
      </c>
    </row>
    <row r="215" spans="1:41" x14ac:dyDescent="0.35">
      <c r="A215" s="3">
        <v>10536001</v>
      </c>
      <c r="B215" s="3" t="str">
        <f t="shared" si="25"/>
        <v>7C-2-2</v>
      </c>
      <c r="C215">
        <v>2</v>
      </c>
      <c r="D215" t="s">
        <v>41</v>
      </c>
      <c r="E215">
        <v>7</v>
      </c>
      <c r="F215">
        <v>15</v>
      </c>
      <c r="G215" t="s">
        <v>40</v>
      </c>
      <c r="H215">
        <v>31.035730300000001</v>
      </c>
      <c r="I215" t="str">
        <f>"-102.2230557"</f>
        <v>-102.2230557</v>
      </c>
      <c r="J215">
        <v>31.035881509999999</v>
      </c>
      <c r="K215" t="str">
        <f>"-102.22346935"</f>
        <v>-102.22346935</v>
      </c>
      <c r="L215" t="s">
        <v>43</v>
      </c>
      <c r="M215">
        <v>391719</v>
      </c>
      <c r="N215">
        <v>770731</v>
      </c>
      <c r="O215" t="s">
        <v>181</v>
      </c>
      <c r="P215" t="s">
        <v>187</v>
      </c>
      <c r="Q215">
        <v>5550</v>
      </c>
      <c r="R215" t="s">
        <v>44</v>
      </c>
      <c r="T215" t="s">
        <v>197</v>
      </c>
      <c r="U215">
        <v>31</v>
      </c>
      <c r="V215">
        <v>28</v>
      </c>
      <c r="W215">
        <v>467</v>
      </c>
      <c r="X215" t="s">
        <v>68</v>
      </c>
      <c r="Y215">
        <v>8741</v>
      </c>
      <c r="Z215" t="s">
        <v>69</v>
      </c>
      <c r="AA215" t="s">
        <v>45</v>
      </c>
      <c r="AB215" t="s">
        <v>46</v>
      </c>
      <c r="AC215">
        <v>13024</v>
      </c>
      <c r="AD215">
        <v>770731</v>
      </c>
      <c r="AE215" t="s">
        <v>181</v>
      </c>
      <c r="AF215" t="s">
        <v>187</v>
      </c>
      <c r="AG215" t="s">
        <v>185</v>
      </c>
      <c r="AH215">
        <v>2</v>
      </c>
      <c r="AI215" s="7" t="str">
        <f t="shared" si="24"/>
        <v>10536001_7C_2_2</v>
      </c>
      <c r="AJ215" t="s">
        <v>51</v>
      </c>
      <c r="AK215" t="s">
        <v>52</v>
      </c>
      <c r="AL215" s="1">
        <v>36410</v>
      </c>
      <c r="AM215">
        <v>5550</v>
      </c>
    </row>
    <row r="216" spans="1:41" x14ac:dyDescent="0.35">
      <c r="A216" s="3">
        <v>10536001</v>
      </c>
      <c r="B216" s="3" t="str">
        <f t="shared" si="25"/>
        <v>7C-2-2</v>
      </c>
      <c r="C216">
        <v>2</v>
      </c>
      <c r="D216" t="s">
        <v>41</v>
      </c>
      <c r="E216">
        <v>7</v>
      </c>
      <c r="F216">
        <v>15</v>
      </c>
      <c r="G216" t="s">
        <v>40</v>
      </c>
      <c r="H216">
        <v>31.035730300000001</v>
      </c>
      <c r="I216" t="str">
        <f>"-102.2230557"</f>
        <v>-102.2230557</v>
      </c>
      <c r="J216">
        <v>31.035881509999999</v>
      </c>
      <c r="K216" t="str">
        <f>"-102.22346935"</f>
        <v>-102.22346935</v>
      </c>
      <c r="L216" t="s">
        <v>43</v>
      </c>
      <c r="M216">
        <v>391719</v>
      </c>
      <c r="N216">
        <v>770731</v>
      </c>
      <c r="O216" t="s">
        <v>181</v>
      </c>
      <c r="P216" t="s">
        <v>187</v>
      </c>
      <c r="Q216">
        <v>5550</v>
      </c>
      <c r="R216" t="s">
        <v>44</v>
      </c>
      <c r="T216" t="s">
        <v>197</v>
      </c>
      <c r="U216">
        <v>31</v>
      </c>
      <c r="V216">
        <v>28</v>
      </c>
      <c r="W216">
        <v>467</v>
      </c>
      <c r="X216" t="s">
        <v>68</v>
      </c>
      <c r="Y216">
        <v>8741</v>
      </c>
      <c r="Z216" t="s">
        <v>69</v>
      </c>
      <c r="AA216" t="s">
        <v>45</v>
      </c>
      <c r="AB216" t="s">
        <v>46</v>
      </c>
      <c r="AC216">
        <v>13194</v>
      </c>
      <c r="AD216">
        <v>770731</v>
      </c>
      <c r="AE216" t="s">
        <v>181</v>
      </c>
      <c r="AF216" t="s">
        <v>198</v>
      </c>
      <c r="AG216" t="s">
        <v>185</v>
      </c>
      <c r="AH216">
        <v>2</v>
      </c>
      <c r="AI216" s="7" t="str">
        <f t="shared" si="24"/>
        <v>10536001_7C_2_2</v>
      </c>
      <c r="AJ216" t="s">
        <v>51</v>
      </c>
      <c r="AK216" t="s">
        <v>52</v>
      </c>
      <c r="AL216" s="1">
        <v>36410</v>
      </c>
      <c r="AM216">
        <v>5550</v>
      </c>
    </row>
    <row r="217" spans="1:41" x14ac:dyDescent="0.35">
      <c r="A217" s="3">
        <v>10536046</v>
      </c>
      <c r="B217" s="3" t="str">
        <f t="shared" si="25"/>
        <v>--2</v>
      </c>
      <c r="C217">
        <v>2</v>
      </c>
      <c r="D217" t="s">
        <v>199</v>
      </c>
      <c r="E217">
        <v>2</v>
      </c>
      <c r="F217">
        <v>15</v>
      </c>
      <c r="G217" t="s">
        <v>40</v>
      </c>
      <c r="H217">
        <v>31.039082499999999</v>
      </c>
      <c r="I217" t="str">
        <f>"-102.2224942"</f>
        <v>-102.2224942</v>
      </c>
      <c r="J217">
        <v>31.03923361</v>
      </c>
      <c r="K217" t="str">
        <f>"-102.22290789"</f>
        <v>-102.22290789</v>
      </c>
      <c r="L217" t="s">
        <v>200</v>
      </c>
      <c r="M217">
        <v>393206</v>
      </c>
      <c r="N217">
        <v>770731</v>
      </c>
      <c r="O217" t="s">
        <v>181</v>
      </c>
      <c r="P217" t="s">
        <v>201</v>
      </c>
      <c r="Q217">
        <v>0</v>
      </c>
      <c r="R217" t="s">
        <v>44</v>
      </c>
      <c r="S217">
        <v>5240</v>
      </c>
      <c r="T217" t="s">
        <v>202</v>
      </c>
      <c r="U217">
        <v>31</v>
      </c>
      <c r="V217">
        <v>28</v>
      </c>
      <c r="W217">
        <v>7590</v>
      </c>
      <c r="X217" t="s">
        <v>69</v>
      </c>
      <c r="Y217">
        <v>1140</v>
      </c>
      <c r="Z217" t="s">
        <v>171</v>
      </c>
      <c r="AI217" s="7" t="str">
        <f t="shared" si="24"/>
        <v>10536046___2</v>
      </c>
    </row>
    <row r="218" spans="1:41" x14ac:dyDescent="0.35">
      <c r="A218" s="3">
        <v>10537515</v>
      </c>
      <c r="B218" s="3" t="str">
        <f t="shared" si="25"/>
        <v>08-209-209</v>
      </c>
      <c r="C218">
        <v>209</v>
      </c>
      <c r="D218" t="s">
        <v>63</v>
      </c>
      <c r="E218">
        <v>4</v>
      </c>
      <c r="F218">
        <v>40</v>
      </c>
      <c r="G218" t="s">
        <v>203</v>
      </c>
      <c r="H218">
        <v>2962934.46030183</v>
      </c>
      <c r="I218" t="str">
        <f>"2290451.50295275"</f>
        <v>2290451.50295275</v>
      </c>
      <c r="J218">
        <v>31.044660310000001</v>
      </c>
      <c r="K218" t="str">
        <f>"-102.27094117"</f>
        <v>-102.27094117</v>
      </c>
      <c r="L218" t="s">
        <v>65</v>
      </c>
      <c r="M218">
        <v>456562</v>
      </c>
      <c r="N218">
        <v>774720</v>
      </c>
      <c r="O218" t="s">
        <v>60</v>
      </c>
      <c r="P218" t="s">
        <v>66</v>
      </c>
      <c r="Q218">
        <v>5380</v>
      </c>
      <c r="R218" t="s">
        <v>44</v>
      </c>
      <c r="S218">
        <v>407</v>
      </c>
      <c r="T218" t="s">
        <v>204</v>
      </c>
      <c r="U218">
        <v>31</v>
      </c>
      <c r="V218">
        <v>23</v>
      </c>
      <c r="W218">
        <v>5850</v>
      </c>
      <c r="X218" t="s">
        <v>69</v>
      </c>
      <c r="Y218">
        <v>614</v>
      </c>
      <c r="Z218" t="s">
        <v>171</v>
      </c>
      <c r="AA218" t="s">
        <v>45</v>
      </c>
      <c r="AB218" t="str">
        <f t="shared" ref="AB218:AB223" si="27">"08"</f>
        <v>08</v>
      </c>
      <c r="AC218">
        <v>21736</v>
      </c>
      <c r="AD218">
        <v>617544</v>
      </c>
      <c r="AE218" t="s">
        <v>55</v>
      </c>
      <c r="AF218" t="s">
        <v>66</v>
      </c>
      <c r="AG218" t="s">
        <v>56</v>
      </c>
      <c r="AH218">
        <v>209</v>
      </c>
      <c r="AI218" s="7" t="str">
        <f t="shared" si="24"/>
        <v>10537515_08_209_209</v>
      </c>
      <c r="AJ218" t="s">
        <v>72</v>
      </c>
      <c r="AK218" t="s">
        <v>73</v>
      </c>
    </row>
    <row r="219" spans="1:41" x14ac:dyDescent="0.35">
      <c r="A219" s="3">
        <v>10537659</v>
      </c>
      <c r="B219" s="3" t="str">
        <f t="shared" si="25"/>
        <v>08-210-210</v>
      </c>
      <c r="C219">
        <v>210</v>
      </c>
      <c r="D219" t="s">
        <v>76</v>
      </c>
      <c r="E219">
        <v>21</v>
      </c>
      <c r="F219">
        <v>55</v>
      </c>
      <c r="G219" t="s">
        <v>64</v>
      </c>
      <c r="H219">
        <v>2965418.56791338</v>
      </c>
      <c r="I219" t="str">
        <f>"2288166.35006562"</f>
        <v>2288166.35006562</v>
      </c>
      <c r="J219">
        <v>31.051355109999999</v>
      </c>
      <c r="K219" t="str">
        <f>"-102.27840315"</f>
        <v>-102.27840315</v>
      </c>
      <c r="L219" t="s">
        <v>65</v>
      </c>
      <c r="M219">
        <v>461097</v>
      </c>
      <c r="N219">
        <v>15726</v>
      </c>
      <c r="O219" t="s">
        <v>205</v>
      </c>
      <c r="P219" t="s">
        <v>66</v>
      </c>
      <c r="Q219">
        <v>5348</v>
      </c>
      <c r="R219" t="s">
        <v>44</v>
      </c>
      <c r="S219">
        <v>5096</v>
      </c>
      <c r="T219" t="s">
        <v>206</v>
      </c>
      <c r="U219">
        <v>31</v>
      </c>
      <c r="V219">
        <v>22</v>
      </c>
      <c r="W219">
        <v>1300</v>
      </c>
      <c r="X219" t="s">
        <v>68</v>
      </c>
      <c r="Y219">
        <v>4250</v>
      </c>
      <c r="Z219" t="s">
        <v>69</v>
      </c>
      <c r="AA219" t="s">
        <v>45</v>
      </c>
      <c r="AB219" t="str">
        <f t="shared" si="27"/>
        <v>08</v>
      </c>
      <c r="AC219">
        <v>21736</v>
      </c>
      <c r="AD219">
        <v>617544</v>
      </c>
      <c r="AE219" t="s">
        <v>55</v>
      </c>
      <c r="AF219" t="s">
        <v>66</v>
      </c>
      <c r="AG219" t="s">
        <v>56</v>
      </c>
      <c r="AH219">
        <v>210</v>
      </c>
      <c r="AI219" s="7" t="str">
        <f t="shared" si="24"/>
        <v>10537659_08_210_210</v>
      </c>
      <c r="AJ219" t="s">
        <v>86</v>
      </c>
      <c r="AK219" t="s">
        <v>73</v>
      </c>
    </row>
    <row r="220" spans="1:41" x14ac:dyDescent="0.35">
      <c r="A220" s="3">
        <v>10538300</v>
      </c>
      <c r="B220" s="3" t="str">
        <f t="shared" si="25"/>
        <v>08-211-211</v>
      </c>
      <c r="C220">
        <v>211</v>
      </c>
      <c r="D220" t="s">
        <v>63</v>
      </c>
      <c r="E220">
        <v>4</v>
      </c>
      <c r="F220">
        <v>55</v>
      </c>
      <c r="G220" t="s">
        <v>64</v>
      </c>
      <c r="H220">
        <v>31.046033300000001</v>
      </c>
      <c r="I220" t="str">
        <f>"-102.2669222"</f>
        <v>-102.2669222</v>
      </c>
      <c r="J220">
        <v>31.046183849999998</v>
      </c>
      <c r="K220" t="str">
        <f>"-102.26733699"</f>
        <v>-102.26733699</v>
      </c>
      <c r="L220" t="s">
        <v>65</v>
      </c>
      <c r="M220">
        <v>489127</v>
      </c>
      <c r="N220">
        <v>15726</v>
      </c>
      <c r="O220" t="s">
        <v>205</v>
      </c>
      <c r="P220" t="s">
        <v>66</v>
      </c>
      <c r="Q220">
        <v>5400</v>
      </c>
      <c r="R220" t="s">
        <v>44</v>
      </c>
      <c r="S220">
        <v>407</v>
      </c>
      <c r="T220" t="s">
        <v>207</v>
      </c>
      <c r="U220">
        <v>31</v>
      </c>
      <c r="V220">
        <v>23</v>
      </c>
      <c r="W220">
        <v>38</v>
      </c>
      <c r="X220" t="s">
        <v>171</v>
      </c>
      <c r="Y220">
        <v>4786</v>
      </c>
      <c r="Z220" t="s">
        <v>69</v>
      </c>
      <c r="AA220" t="s">
        <v>45</v>
      </c>
      <c r="AB220" t="str">
        <f t="shared" si="27"/>
        <v>08</v>
      </c>
      <c r="AC220">
        <v>21736</v>
      </c>
      <c r="AD220">
        <v>617544</v>
      </c>
      <c r="AE220" t="s">
        <v>55</v>
      </c>
      <c r="AF220" t="s">
        <v>66</v>
      </c>
      <c r="AG220" t="s">
        <v>56</v>
      </c>
      <c r="AH220">
        <v>211</v>
      </c>
      <c r="AI220" s="7" t="str">
        <f t="shared" si="24"/>
        <v>10538300_08_211_211</v>
      </c>
      <c r="AJ220" t="s">
        <v>72</v>
      </c>
      <c r="AK220" t="s">
        <v>73</v>
      </c>
    </row>
    <row r="221" spans="1:41" x14ac:dyDescent="0.35">
      <c r="A221" s="3">
        <v>10538482</v>
      </c>
      <c r="B221" s="3" t="str">
        <f t="shared" si="25"/>
        <v>08-213-213</v>
      </c>
      <c r="C221">
        <v>213</v>
      </c>
      <c r="D221" t="s">
        <v>63</v>
      </c>
      <c r="E221">
        <v>4</v>
      </c>
      <c r="F221">
        <v>55</v>
      </c>
      <c r="G221" t="s">
        <v>64</v>
      </c>
      <c r="H221">
        <v>2969643.78969817</v>
      </c>
      <c r="I221" t="str">
        <f>"2288299.68700787"</f>
        <v>2288299.68700787</v>
      </c>
      <c r="J221">
        <v>31.06301895</v>
      </c>
      <c r="K221" t="str">
        <f>"-102.27826717"</f>
        <v>-102.27826717</v>
      </c>
      <c r="L221" t="s">
        <v>65</v>
      </c>
      <c r="M221">
        <v>501807</v>
      </c>
      <c r="N221">
        <v>617544</v>
      </c>
      <c r="O221" t="s">
        <v>55</v>
      </c>
      <c r="P221" t="s">
        <v>66</v>
      </c>
      <c r="Q221">
        <v>5280</v>
      </c>
      <c r="R221" t="s">
        <v>44</v>
      </c>
      <c r="S221">
        <v>406</v>
      </c>
      <c r="T221" t="s">
        <v>207</v>
      </c>
      <c r="U221">
        <v>31</v>
      </c>
      <c r="V221">
        <v>21</v>
      </c>
      <c r="W221">
        <v>1312</v>
      </c>
      <c r="X221" t="s">
        <v>68</v>
      </c>
      <c r="Y221">
        <v>1190</v>
      </c>
      <c r="Z221" t="s">
        <v>69</v>
      </c>
      <c r="AA221" t="s">
        <v>45</v>
      </c>
      <c r="AB221" t="str">
        <f t="shared" si="27"/>
        <v>08</v>
      </c>
      <c r="AC221">
        <v>21736</v>
      </c>
      <c r="AD221">
        <v>617544</v>
      </c>
      <c r="AE221" t="s">
        <v>55</v>
      </c>
      <c r="AF221" t="s">
        <v>66</v>
      </c>
      <c r="AG221" t="s">
        <v>56</v>
      </c>
      <c r="AH221">
        <v>213</v>
      </c>
      <c r="AI221" s="7" t="str">
        <f t="shared" si="24"/>
        <v>10538482_08_213_213</v>
      </c>
      <c r="AJ221" t="s">
        <v>72</v>
      </c>
      <c r="AK221" t="s">
        <v>73</v>
      </c>
    </row>
    <row r="222" spans="1:41" x14ac:dyDescent="0.35">
      <c r="A222" s="3">
        <v>10538483</v>
      </c>
      <c r="B222" s="3" t="str">
        <f t="shared" si="25"/>
        <v>08-212-212</v>
      </c>
      <c r="C222">
        <v>212</v>
      </c>
      <c r="D222" t="s">
        <v>76</v>
      </c>
      <c r="E222">
        <v>21</v>
      </c>
      <c r="F222">
        <v>55</v>
      </c>
      <c r="G222" t="s">
        <v>64</v>
      </c>
      <c r="H222">
        <v>2962878.8533464498</v>
      </c>
      <c r="I222" t="str">
        <f>"2292301.25656168"</f>
        <v>2292301.25656168</v>
      </c>
      <c r="J222">
        <v>31.04461161</v>
      </c>
      <c r="K222" t="str">
        <f>"-102.26501994"</f>
        <v>-102.26501994</v>
      </c>
      <c r="L222" t="s">
        <v>65</v>
      </c>
      <c r="M222">
        <v>501808</v>
      </c>
      <c r="N222">
        <v>617544</v>
      </c>
      <c r="O222" t="s">
        <v>55</v>
      </c>
      <c r="P222" t="s">
        <v>66</v>
      </c>
      <c r="Q222">
        <v>5500</v>
      </c>
      <c r="R222" t="s">
        <v>44</v>
      </c>
      <c r="S222">
        <v>4940</v>
      </c>
      <c r="T222" t="s">
        <v>208</v>
      </c>
      <c r="U222">
        <v>31</v>
      </c>
      <c r="V222">
        <v>24</v>
      </c>
      <c r="W222">
        <v>896</v>
      </c>
      <c r="X222" t="s">
        <v>68</v>
      </c>
      <c r="Y222">
        <v>6384</v>
      </c>
      <c r="Z222" t="s">
        <v>69</v>
      </c>
      <c r="AA222" t="s">
        <v>45</v>
      </c>
      <c r="AB222" t="str">
        <f t="shared" si="27"/>
        <v>08</v>
      </c>
      <c r="AC222">
        <v>21736</v>
      </c>
      <c r="AD222">
        <v>617544</v>
      </c>
      <c r="AE222" t="s">
        <v>55</v>
      </c>
      <c r="AF222" t="s">
        <v>66</v>
      </c>
      <c r="AG222" t="s">
        <v>56</v>
      </c>
      <c r="AH222">
        <v>212</v>
      </c>
      <c r="AI222" s="7" t="str">
        <f t="shared" si="24"/>
        <v>10538483_08_212_212</v>
      </c>
      <c r="AJ222" t="s">
        <v>86</v>
      </c>
      <c r="AK222" t="s">
        <v>73</v>
      </c>
    </row>
    <row r="223" spans="1:41" x14ac:dyDescent="0.35">
      <c r="A223" s="3">
        <v>10538685</v>
      </c>
      <c r="B223" s="3" t="str">
        <f t="shared" si="25"/>
        <v>08-215-215</v>
      </c>
      <c r="C223">
        <v>215</v>
      </c>
      <c r="D223" t="s">
        <v>76</v>
      </c>
      <c r="E223">
        <v>21</v>
      </c>
      <c r="F223">
        <v>55</v>
      </c>
      <c r="G223" t="s">
        <v>64</v>
      </c>
      <c r="H223">
        <v>2968258.3431758601</v>
      </c>
      <c r="I223" t="str">
        <f>"2285533.8956693"</f>
        <v>2285533.8956693</v>
      </c>
      <c r="J223">
        <v>31.059045609999998</v>
      </c>
      <c r="K223" t="str">
        <f>"-102.28702529"</f>
        <v>-102.28702529</v>
      </c>
      <c r="L223" t="s">
        <v>65</v>
      </c>
      <c r="M223">
        <v>510067</v>
      </c>
      <c r="N223">
        <v>617544</v>
      </c>
      <c r="O223" t="s">
        <v>55</v>
      </c>
      <c r="P223" t="s">
        <v>66</v>
      </c>
      <c r="Q223">
        <v>5120</v>
      </c>
      <c r="R223" t="s">
        <v>44</v>
      </c>
      <c r="S223">
        <v>406</v>
      </c>
      <c r="T223" t="s">
        <v>207</v>
      </c>
      <c r="U223">
        <v>31</v>
      </c>
      <c r="V223">
        <v>21</v>
      </c>
      <c r="W223">
        <v>4083</v>
      </c>
      <c r="X223" t="s">
        <v>69</v>
      </c>
      <c r="Y223">
        <v>188</v>
      </c>
      <c r="Z223" t="s">
        <v>68</v>
      </c>
      <c r="AA223" t="s">
        <v>45</v>
      </c>
      <c r="AB223" t="str">
        <f t="shared" si="27"/>
        <v>08</v>
      </c>
      <c r="AC223">
        <v>21736</v>
      </c>
      <c r="AD223">
        <v>617544</v>
      </c>
      <c r="AE223" t="s">
        <v>55</v>
      </c>
      <c r="AF223" t="s">
        <v>66</v>
      </c>
      <c r="AG223" t="s">
        <v>56</v>
      </c>
      <c r="AH223">
        <v>215</v>
      </c>
      <c r="AI223" s="7" t="str">
        <f t="shared" si="24"/>
        <v>10538685_08_215_215</v>
      </c>
      <c r="AJ223" t="s">
        <v>86</v>
      </c>
      <c r="AK223" t="s">
        <v>73</v>
      </c>
    </row>
    <row r="224" spans="1:41" x14ac:dyDescent="0.35">
      <c r="A224" s="3">
        <v>10538786</v>
      </c>
      <c r="B224" s="3" t="str">
        <f t="shared" si="25"/>
        <v>--1</v>
      </c>
      <c r="C224">
        <v>1</v>
      </c>
      <c r="D224" t="s">
        <v>39</v>
      </c>
      <c r="E224">
        <v>3</v>
      </c>
      <c r="F224">
        <v>40</v>
      </c>
      <c r="G224" t="s">
        <v>203</v>
      </c>
      <c r="H224">
        <v>31.04626725</v>
      </c>
      <c r="I224" t="str">
        <f>"-102.2239517"</f>
        <v>-102.2239517</v>
      </c>
      <c r="J224">
        <v>31.046418070000001</v>
      </c>
      <c r="K224" t="str">
        <f>"-102.22436552"</f>
        <v>-102.22436552</v>
      </c>
      <c r="L224" t="s">
        <v>149</v>
      </c>
      <c r="M224">
        <v>515516</v>
      </c>
      <c r="N224">
        <v>844118</v>
      </c>
      <c r="O224" t="s">
        <v>209</v>
      </c>
      <c r="P224" t="s">
        <v>210</v>
      </c>
      <c r="Q224">
        <v>0</v>
      </c>
      <c r="R224" t="s">
        <v>44</v>
      </c>
      <c r="S224">
        <v>409</v>
      </c>
      <c r="T224" t="s">
        <v>207</v>
      </c>
      <c r="U224">
        <v>31</v>
      </c>
      <c r="V224">
        <v>27</v>
      </c>
      <c r="W224">
        <v>541</v>
      </c>
      <c r="X224" t="s">
        <v>171</v>
      </c>
      <c r="Y224">
        <v>4172</v>
      </c>
      <c r="Z224" t="s">
        <v>191</v>
      </c>
      <c r="AI224" s="7" t="str">
        <f t="shared" si="24"/>
        <v>10538786___1</v>
      </c>
      <c r="AL224" s="1">
        <v>37250</v>
      </c>
      <c r="AM224">
        <v>6700</v>
      </c>
      <c r="AN224" t="s">
        <v>209</v>
      </c>
      <c r="AO224" t="s">
        <v>211</v>
      </c>
    </row>
    <row r="225" spans="1:41" x14ac:dyDescent="0.35">
      <c r="A225" s="3">
        <v>10539056</v>
      </c>
      <c r="B225" s="3" t="str">
        <f t="shared" si="25"/>
        <v>08-221-221</v>
      </c>
      <c r="C225">
        <v>221</v>
      </c>
      <c r="D225" t="s">
        <v>142</v>
      </c>
      <c r="E225">
        <v>11</v>
      </c>
      <c r="F225">
        <v>40</v>
      </c>
      <c r="G225" t="s">
        <v>203</v>
      </c>
      <c r="H225">
        <v>2969377.63812336</v>
      </c>
      <c r="I225" t="str">
        <f>"2288999.48064305"</f>
        <v>2288999.48064305</v>
      </c>
      <c r="J225">
        <v>31.062325529999999</v>
      </c>
      <c r="K225" t="str">
        <f>"-102.27601049"</f>
        <v>-102.27601049</v>
      </c>
      <c r="L225" t="s">
        <v>65</v>
      </c>
      <c r="M225">
        <v>532713</v>
      </c>
      <c r="N225">
        <v>617544</v>
      </c>
      <c r="O225" t="s">
        <v>55</v>
      </c>
      <c r="P225" t="s">
        <v>66</v>
      </c>
      <c r="Q225">
        <v>5370</v>
      </c>
      <c r="R225" t="s">
        <v>44</v>
      </c>
      <c r="S225">
        <v>406</v>
      </c>
      <c r="T225" t="s">
        <v>207</v>
      </c>
      <c r="U225">
        <v>31</v>
      </c>
      <c r="V225">
        <v>21</v>
      </c>
      <c r="W225">
        <v>846</v>
      </c>
      <c r="X225" t="s">
        <v>69</v>
      </c>
      <c r="Y225">
        <v>547</v>
      </c>
      <c r="Z225" t="s">
        <v>171</v>
      </c>
      <c r="AA225" t="s">
        <v>45</v>
      </c>
      <c r="AB225" t="str">
        <f t="shared" ref="AB225:AB234" si="28">"08"</f>
        <v>08</v>
      </c>
      <c r="AC225">
        <v>21736</v>
      </c>
      <c r="AD225">
        <v>617544</v>
      </c>
      <c r="AE225" t="s">
        <v>55</v>
      </c>
      <c r="AF225" t="s">
        <v>66</v>
      </c>
      <c r="AG225" t="s">
        <v>56</v>
      </c>
      <c r="AH225">
        <v>221</v>
      </c>
      <c r="AI225" s="7" t="str">
        <f t="shared" si="24"/>
        <v>10539056_08_221_221</v>
      </c>
      <c r="AJ225" t="s">
        <v>86</v>
      </c>
      <c r="AK225" t="s">
        <v>73</v>
      </c>
    </row>
    <row r="226" spans="1:41" x14ac:dyDescent="0.35">
      <c r="A226" s="3">
        <v>10539057</v>
      </c>
      <c r="B226" s="3" t="str">
        <f t="shared" si="25"/>
        <v>08-222-222</v>
      </c>
      <c r="C226">
        <v>222</v>
      </c>
      <c r="D226" t="s">
        <v>76</v>
      </c>
      <c r="E226">
        <v>21</v>
      </c>
      <c r="F226">
        <v>55</v>
      </c>
      <c r="G226" t="s">
        <v>64</v>
      </c>
      <c r="H226">
        <v>2961843.6197506501</v>
      </c>
      <c r="I226" t="str">
        <f>"2291119.36351706"</f>
        <v>2291119.36351706</v>
      </c>
      <c r="J226">
        <v>31.041519439999998</v>
      </c>
      <c r="K226" t="str">
        <f>"-102.26829722"</f>
        <v>-102.26829722</v>
      </c>
      <c r="L226" t="s">
        <v>65</v>
      </c>
      <c r="M226">
        <v>532715</v>
      </c>
      <c r="N226">
        <v>617544</v>
      </c>
      <c r="O226" t="s">
        <v>55</v>
      </c>
      <c r="P226" t="s">
        <v>66</v>
      </c>
      <c r="Q226">
        <v>5510</v>
      </c>
      <c r="R226" t="s">
        <v>44</v>
      </c>
      <c r="S226">
        <v>4940</v>
      </c>
      <c r="T226" t="s">
        <v>212</v>
      </c>
      <c r="U226">
        <v>31</v>
      </c>
      <c r="V226">
        <v>24</v>
      </c>
      <c r="W226">
        <v>7911</v>
      </c>
      <c r="X226" t="s">
        <v>69</v>
      </c>
      <c r="Y226">
        <v>589</v>
      </c>
      <c r="Z226" t="s">
        <v>68</v>
      </c>
      <c r="AA226" t="s">
        <v>45</v>
      </c>
      <c r="AB226" t="str">
        <f t="shared" si="28"/>
        <v>08</v>
      </c>
      <c r="AC226">
        <v>21736</v>
      </c>
      <c r="AD226">
        <v>617544</v>
      </c>
      <c r="AE226" t="s">
        <v>55</v>
      </c>
      <c r="AF226" t="s">
        <v>66</v>
      </c>
      <c r="AG226" t="s">
        <v>56</v>
      </c>
      <c r="AH226">
        <v>222</v>
      </c>
      <c r="AI226" s="7" t="str">
        <f t="shared" si="24"/>
        <v>10539057_08_222_222</v>
      </c>
      <c r="AJ226" t="s">
        <v>86</v>
      </c>
      <c r="AK226" t="s">
        <v>73</v>
      </c>
    </row>
    <row r="227" spans="1:41" x14ac:dyDescent="0.35">
      <c r="A227" s="3">
        <v>10539315</v>
      </c>
      <c r="B227" s="3" t="str">
        <f t="shared" si="25"/>
        <v>08-225-225</v>
      </c>
      <c r="C227">
        <v>225</v>
      </c>
      <c r="D227" t="s">
        <v>63</v>
      </c>
      <c r="E227">
        <v>4</v>
      </c>
      <c r="F227">
        <v>40</v>
      </c>
      <c r="G227" t="s">
        <v>203</v>
      </c>
      <c r="H227">
        <v>2966950.4238845101</v>
      </c>
      <c r="I227" t="str">
        <f>"2291053.15157481"</f>
        <v>2291053.15157481</v>
      </c>
      <c r="J227">
        <v>31.055756110000001</v>
      </c>
      <c r="K227" t="str">
        <f>"-102.26928"</f>
        <v>-102.26928</v>
      </c>
      <c r="L227" t="s">
        <v>65</v>
      </c>
      <c r="M227">
        <v>546401</v>
      </c>
      <c r="N227">
        <v>617544</v>
      </c>
      <c r="O227" t="s">
        <v>55</v>
      </c>
      <c r="P227" t="s">
        <v>66</v>
      </c>
      <c r="Q227">
        <v>5398</v>
      </c>
      <c r="R227" t="s">
        <v>44</v>
      </c>
      <c r="S227">
        <v>5096</v>
      </c>
      <c r="T227" t="s">
        <v>213</v>
      </c>
      <c r="U227">
        <v>31</v>
      </c>
      <c r="V227">
        <v>22</v>
      </c>
      <c r="W227">
        <v>1151</v>
      </c>
      <c r="X227" t="s">
        <v>69</v>
      </c>
      <c r="Y227">
        <v>193</v>
      </c>
      <c r="Z227" t="s">
        <v>171</v>
      </c>
      <c r="AA227" t="s">
        <v>45</v>
      </c>
      <c r="AB227" t="str">
        <f t="shared" si="28"/>
        <v>08</v>
      </c>
      <c r="AC227">
        <v>21736</v>
      </c>
      <c r="AD227">
        <v>617544</v>
      </c>
      <c r="AE227" t="s">
        <v>55</v>
      </c>
      <c r="AF227" t="s">
        <v>66</v>
      </c>
      <c r="AG227" t="s">
        <v>56</v>
      </c>
      <c r="AH227">
        <v>225</v>
      </c>
      <c r="AI227" s="7" t="str">
        <f t="shared" si="24"/>
        <v>10539315_08_225_225</v>
      </c>
      <c r="AJ227" t="s">
        <v>72</v>
      </c>
      <c r="AK227" t="s">
        <v>73</v>
      </c>
    </row>
    <row r="228" spans="1:41" x14ac:dyDescent="0.35">
      <c r="A228" s="3">
        <v>10539316</v>
      </c>
      <c r="B228" s="3" t="str">
        <f t="shared" si="25"/>
        <v>08-226-226</v>
      </c>
      <c r="C228">
        <v>226</v>
      </c>
      <c r="D228" t="s">
        <v>142</v>
      </c>
      <c r="E228">
        <v>11</v>
      </c>
      <c r="F228">
        <v>40</v>
      </c>
      <c r="G228" t="s">
        <v>203</v>
      </c>
      <c r="H228">
        <v>2965419.3149606301</v>
      </c>
      <c r="I228" t="str">
        <f>"2291574.65288714"</f>
        <v>2291574.65288714</v>
      </c>
      <c r="J228">
        <v>31.051568199999998</v>
      </c>
      <c r="K228" t="str">
        <f>"-102.26751104"</f>
        <v>-102.26751104</v>
      </c>
      <c r="L228" t="s">
        <v>65</v>
      </c>
      <c r="M228">
        <v>546402</v>
      </c>
      <c r="N228">
        <v>617544</v>
      </c>
      <c r="O228" t="s">
        <v>55</v>
      </c>
      <c r="P228" t="s">
        <v>66</v>
      </c>
      <c r="Q228">
        <v>5593</v>
      </c>
      <c r="R228" t="s">
        <v>44</v>
      </c>
      <c r="S228">
        <v>407</v>
      </c>
      <c r="T228" t="s">
        <v>170</v>
      </c>
      <c r="U228">
        <v>31</v>
      </c>
      <c r="V228">
        <v>23</v>
      </c>
      <c r="W228">
        <v>1206</v>
      </c>
      <c r="X228" t="s">
        <v>68</v>
      </c>
      <c r="Y228">
        <v>3257</v>
      </c>
      <c r="Z228" t="s">
        <v>69</v>
      </c>
      <c r="AA228" t="s">
        <v>45</v>
      </c>
      <c r="AB228" t="str">
        <f t="shared" si="28"/>
        <v>08</v>
      </c>
      <c r="AC228">
        <v>21736</v>
      </c>
      <c r="AD228">
        <v>617544</v>
      </c>
      <c r="AE228" t="s">
        <v>55</v>
      </c>
      <c r="AF228" t="s">
        <v>66</v>
      </c>
      <c r="AG228" t="s">
        <v>56</v>
      </c>
      <c r="AH228">
        <v>226</v>
      </c>
      <c r="AI228" s="7" t="str">
        <f t="shared" si="24"/>
        <v>10539316_08_226_226</v>
      </c>
      <c r="AJ228" t="s">
        <v>86</v>
      </c>
      <c r="AK228" t="s">
        <v>73</v>
      </c>
    </row>
    <row r="229" spans="1:41" x14ac:dyDescent="0.35">
      <c r="A229" s="3">
        <v>10539317</v>
      </c>
      <c r="B229" s="3" t="str">
        <f t="shared" si="25"/>
        <v>08-227-227</v>
      </c>
      <c r="C229">
        <v>227</v>
      </c>
      <c r="D229" t="s">
        <v>63</v>
      </c>
      <c r="E229">
        <v>4</v>
      </c>
      <c r="F229">
        <v>40</v>
      </c>
      <c r="G229" t="s">
        <v>203</v>
      </c>
      <c r="H229">
        <v>2966143.3083989499</v>
      </c>
      <c r="I229" t="str">
        <f>"2292688.87171917"</f>
        <v>2292688.87171917</v>
      </c>
      <c r="J229">
        <v>31.053625270000001</v>
      </c>
      <c r="K229" t="str">
        <f>"-102.26399366"</f>
        <v>-102.26399366</v>
      </c>
      <c r="L229" t="s">
        <v>65</v>
      </c>
      <c r="M229">
        <v>546403</v>
      </c>
      <c r="N229">
        <v>617544</v>
      </c>
      <c r="O229" t="s">
        <v>55</v>
      </c>
      <c r="P229" t="s">
        <v>66</v>
      </c>
      <c r="Q229">
        <v>5430</v>
      </c>
      <c r="R229" t="s">
        <v>44</v>
      </c>
      <c r="S229">
        <v>407</v>
      </c>
      <c r="T229" t="s">
        <v>207</v>
      </c>
      <c r="U229">
        <v>31</v>
      </c>
      <c r="V229">
        <v>23</v>
      </c>
      <c r="W229">
        <v>1968</v>
      </c>
      <c r="X229" t="s">
        <v>69</v>
      </c>
      <c r="Y229">
        <v>1038</v>
      </c>
      <c r="Z229" t="s">
        <v>171</v>
      </c>
      <c r="AA229" t="s">
        <v>45</v>
      </c>
      <c r="AB229" t="str">
        <f t="shared" si="28"/>
        <v>08</v>
      </c>
      <c r="AC229">
        <v>21736</v>
      </c>
      <c r="AD229">
        <v>617544</v>
      </c>
      <c r="AE229" t="s">
        <v>55</v>
      </c>
      <c r="AF229" t="s">
        <v>66</v>
      </c>
      <c r="AG229" t="s">
        <v>56</v>
      </c>
      <c r="AH229">
        <v>227</v>
      </c>
      <c r="AI229" s="7" t="str">
        <f t="shared" si="24"/>
        <v>10539317_08_227_227</v>
      </c>
      <c r="AJ229" t="s">
        <v>72</v>
      </c>
      <c r="AK229" t="s">
        <v>73</v>
      </c>
    </row>
    <row r="230" spans="1:41" x14ac:dyDescent="0.35">
      <c r="A230" s="3">
        <v>10539423</v>
      </c>
      <c r="B230" s="3" t="str">
        <f t="shared" si="25"/>
        <v>08-229-229</v>
      </c>
      <c r="C230">
        <v>229</v>
      </c>
      <c r="D230" t="s">
        <v>142</v>
      </c>
      <c r="E230">
        <v>11</v>
      </c>
      <c r="F230">
        <v>40</v>
      </c>
      <c r="G230" t="s">
        <v>203</v>
      </c>
      <c r="H230">
        <v>2965288.99540682</v>
      </c>
      <c r="I230" t="str">
        <f>"2293458.11450131"</f>
        <v>2293458.11450131</v>
      </c>
      <c r="J230">
        <v>31.05129737</v>
      </c>
      <c r="K230" t="str">
        <f>"-102.26146445"</f>
        <v>-102.26146445</v>
      </c>
      <c r="L230" t="s">
        <v>65</v>
      </c>
      <c r="M230">
        <v>550967</v>
      </c>
      <c r="N230">
        <v>617544</v>
      </c>
      <c r="O230" t="s">
        <v>55</v>
      </c>
      <c r="P230" t="s">
        <v>214</v>
      </c>
      <c r="Q230">
        <v>5600</v>
      </c>
      <c r="R230" t="s">
        <v>44</v>
      </c>
      <c r="S230">
        <v>4940</v>
      </c>
      <c r="T230" t="s">
        <v>215</v>
      </c>
      <c r="U230">
        <v>31</v>
      </c>
      <c r="V230">
        <v>24</v>
      </c>
      <c r="W230">
        <v>105</v>
      </c>
      <c r="X230" t="s">
        <v>68</v>
      </c>
      <c r="Y230">
        <v>3822</v>
      </c>
      <c r="Z230" t="s">
        <v>69</v>
      </c>
      <c r="AA230" t="s">
        <v>45</v>
      </c>
      <c r="AB230" t="str">
        <f t="shared" si="28"/>
        <v>08</v>
      </c>
      <c r="AC230">
        <v>21736</v>
      </c>
      <c r="AD230">
        <v>617544</v>
      </c>
      <c r="AE230" t="s">
        <v>55</v>
      </c>
      <c r="AF230" t="s">
        <v>66</v>
      </c>
      <c r="AG230" t="s">
        <v>56</v>
      </c>
      <c r="AH230">
        <v>229</v>
      </c>
      <c r="AI230" s="7" t="str">
        <f t="shared" si="24"/>
        <v>10539423_08_229_229</v>
      </c>
      <c r="AJ230" t="s">
        <v>86</v>
      </c>
      <c r="AK230" t="s">
        <v>73</v>
      </c>
    </row>
    <row r="231" spans="1:41" x14ac:dyDescent="0.35">
      <c r="A231" s="3">
        <v>10539591</v>
      </c>
      <c r="B231" s="3" t="str">
        <f t="shared" si="25"/>
        <v>08-231-231</v>
      </c>
      <c r="C231">
        <v>231</v>
      </c>
      <c r="D231" t="s">
        <v>63</v>
      </c>
      <c r="E231">
        <v>4</v>
      </c>
      <c r="F231">
        <v>55</v>
      </c>
      <c r="G231" t="s">
        <v>64</v>
      </c>
      <c r="H231">
        <v>31.06422774</v>
      </c>
      <c r="I231" t="str">
        <f>"-102.27596393"</f>
        <v>-102.27596393</v>
      </c>
      <c r="J231">
        <v>31.064377629999999</v>
      </c>
      <c r="K231" t="str">
        <f>"-102.27637922"</f>
        <v>-102.27637922</v>
      </c>
      <c r="L231" t="s">
        <v>65</v>
      </c>
      <c r="M231">
        <v>561006</v>
      </c>
      <c r="N231">
        <v>617544</v>
      </c>
      <c r="O231" t="s">
        <v>55</v>
      </c>
      <c r="P231" t="s">
        <v>66</v>
      </c>
      <c r="Q231">
        <v>5468</v>
      </c>
      <c r="R231" t="s">
        <v>44</v>
      </c>
      <c r="S231">
        <v>406</v>
      </c>
      <c r="T231" t="s">
        <v>207</v>
      </c>
      <c r="U231">
        <v>31</v>
      </c>
      <c r="V231">
        <v>21</v>
      </c>
      <c r="W231">
        <v>427</v>
      </c>
      <c r="X231" t="s">
        <v>69</v>
      </c>
      <c r="Y231">
        <v>1277</v>
      </c>
      <c r="Z231" t="s">
        <v>171</v>
      </c>
      <c r="AA231" t="s">
        <v>45</v>
      </c>
      <c r="AB231" t="str">
        <f t="shared" si="28"/>
        <v>08</v>
      </c>
      <c r="AC231">
        <v>21736</v>
      </c>
      <c r="AD231">
        <v>617544</v>
      </c>
      <c r="AE231" t="s">
        <v>55</v>
      </c>
      <c r="AF231" t="s">
        <v>66</v>
      </c>
      <c r="AG231" t="s">
        <v>56</v>
      </c>
      <c r="AH231">
        <v>231</v>
      </c>
      <c r="AI231" s="7" t="str">
        <f t="shared" si="24"/>
        <v>10539591_08_231_231</v>
      </c>
      <c r="AJ231" t="s">
        <v>72</v>
      </c>
      <c r="AK231" t="s">
        <v>73</v>
      </c>
    </row>
    <row r="232" spans="1:41" x14ac:dyDescent="0.35">
      <c r="A232" s="3">
        <v>10539592</v>
      </c>
      <c r="B232" s="3" t="str">
        <f t="shared" si="25"/>
        <v>08- 191R -191R</v>
      </c>
      <c r="C232" t="s">
        <v>216</v>
      </c>
      <c r="D232" t="s">
        <v>76</v>
      </c>
      <c r="E232">
        <v>21</v>
      </c>
      <c r="F232">
        <v>55</v>
      </c>
      <c r="G232" t="s">
        <v>64</v>
      </c>
      <c r="H232">
        <v>31.053877780000001</v>
      </c>
      <c r="I232" t="str">
        <f>"-102.26090833"</f>
        <v>-102.26090833</v>
      </c>
      <c r="J232">
        <v>31.054033310000001</v>
      </c>
      <c r="K232" t="str">
        <f>"-102.26133183"</f>
        <v>-102.26133183</v>
      </c>
      <c r="L232" t="s">
        <v>65</v>
      </c>
      <c r="M232">
        <v>561007</v>
      </c>
      <c r="N232">
        <v>617544</v>
      </c>
      <c r="O232" t="s">
        <v>55</v>
      </c>
      <c r="P232" t="s">
        <v>66</v>
      </c>
      <c r="Q232">
        <v>5555</v>
      </c>
      <c r="R232" t="s">
        <v>44</v>
      </c>
      <c r="S232">
        <v>407</v>
      </c>
      <c r="T232" t="s">
        <v>207</v>
      </c>
      <c r="U232">
        <v>31</v>
      </c>
      <c r="V232">
        <v>23</v>
      </c>
      <c r="W232">
        <v>1388</v>
      </c>
      <c r="X232" t="s">
        <v>69</v>
      </c>
      <c r="Y232">
        <v>544</v>
      </c>
      <c r="Z232" t="s">
        <v>171</v>
      </c>
      <c r="AA232" t="s">
        <v>45</v>
      </c>
      <c r="AB232" t="str">
        <f t="shared" si="28"/>
        <v>08</v>
      </c>
      <c r="AC232">
        <v>21736</v>
      </c>
      <c r="AD232">
        <v>617544</v>
      </c>
      <c r="AE232" t="s">
        <v>55</v>
      </c>
      <c r="AF232" t="s">
        <v>66</v>
      </c>
      <c r="AG232" t="s">
        <v>56</v>
      </c>
      <c r="AH232" t="s">
        <v>217</v>
      </c>
      <c r="AI232" s="7" t="str">
        <f t="shared" si="24"/>
        <v>10539592_08_ 191R _191R</v>
      </c>
      <c r="AJ232" t="s">
        <v>86</v>
      </c>
      <c r="AK232" t="s">
        <v>73</v>
      </c>
    </row>
    <row r="233" spans="1:41" x14ac:dyDescent="0.35">
      <c r="A233" s="3">
        <v>10539619</v>
      </c>
      <c r="B233" s="3" t="str">
        <f t="shared" si="25"/>
        <v>08-232-232</v>
      </c>
      <c r="C233">
        <v>232</v>
      </c>
      <c r="D233" t="s">
        <v>63</v>
      </c>
      <c r="E233">
        <v>4</v>
      </c>
      <c r="F233">
        <v>40</v>
      </c>
      <c r="G233" t="s">
        <v>203</v>
      </c>
      <c r="H233">
        <v>31.061310200000001</v>
      </c>
      <c r="I233" t="str">
        <f>"-102.27838719"</f>
        <v>-102.27838719</v>
      </c>
      <c r="J233">
        <v>31.06146021</v>
      </c>
      <c r="K233" t="str">
        <f>"-102.27880255"</f>
        <v>-102.27880255</v>
      </c>
      <c r="L233" t="s">
        <v>65</v>
      </c>
      <c r="M233">
        <v>600475</v>
      </c>
      <c r="N233">
        <v>617544</v>
      </c>
      <c r="O233" t="s">
        <v>55</v>
      </c>
      <c r="P233" t="s">
        <v>66</v>
      </c>
      <c r="Q233">
        <v>5370</v>
      </c>
      <c r="R233" t="s">
        <v>44</v>
      </c>
      <c r="S233">
        <v>406</v>
      </c>
      <c r="T233" t="s">
        <v>170</v>
      </c>
      <c r="U233">
        <v>31</v>
      </c>
      <c r="V233">
        <v>21</v>
      </c>
      <c r="W233">
        <v>1658</v>
      </c>
      <c r="X233" t="s">
        <v>69</v>
      </c>
      <c r="Y233">
        <v>1020</v>
      </c>
      <c r="Z233" t="s">
        <v>171</v>
      </c>
      <c r="AA233" t="s">
        <v>45</v>
      </c>
      <c r="AB233" t="str">
        <f t="shared" si="28"/>
        <v>08</v>
      </c>
      <c r="AC233">
        <v>21736</v>
      </c>
      <c r="AD233">
        <v>617544</v>
      </c>
      <c r="AE233" t="s">
        <v>55</v>
      </c>
      <c r="AF233" t="s">
        <v>66</v>
      </c>
      <c r="AG233" t="s">
        <v>56</v>
      </c>
      <c r="AH233">
        <v>232</v>
      </c>
      <c r="AI233" s="7" t="str">
        <f t="shared" si="24"/>
        <v>10539619_08_232_232</v>
      </c>
      <c r="AJ233" t="s">
        <v>72</v>
      </c>
      <c r="AK233" t="s">
        <v>73</v>
      </c>
    </row>
    <row r="234" spans="1:41" x14ac:dyDescent="0.35">
      <c r="A234" s="3">
        <v>10539620</v>
      </c>
      <c r="B234" s="3" t="str">
        <f t="shared" si="25"/>
        <v>08-230-230</v>
      </c>
      <c r="C234">
        <v>230</v>
      </c>
      <c r="D234" t="s">
        <v>76</v>
      </c>
      <c r="E234">
        <v>21</v>
      </c>
      <c r="F234">
        <v>40</v>
      </c>
      <c r="G234" t="s">
        <v>203</v>
      </c>
      <c r="H234">
        <v>2964402.1246719202</v>
      </c>
      <c r="I234" t="str">
        <f>"2294593.24442257"</f>
        <v>2294593.24442257</v>
      </c>
      <c r="J234">
        <v>31.048918409999999</v>
      </c>
      <c r="K234" t="str">
        <f>"-102.25777483"</f>
        <v>-102.25777483</v>
      </c>
      <c r="L234" t="s">
        <v>65</v>
      </c>
      <c r="M234">
        <v>600473</v>
      </c>
      <c r="N234">
        <v>617544</v>
      </c>
      <c r="O234" t="s">
        <v>55</v>
      </c>
      <c r="P234" t="s">
        <v>66</v>
      </c>
      <c r="Q234">
        <v>5595</v>
      </c>
      <c r="R234" t="s">
        <v>44</v>
      </c>
      <c r="S234">
        <v>4940</v>
      </c>
      <c r="T234" t="s">
        <v>67</v>
      </c>
      <c r="U234">
        <v>31</v>
      </c>
      <c r="V234">
        <v>24</v>
      </c>
      <c r="W234">
        <v>3742</v>
      </c>
      <c r="X234" t="s">
        <v>69</v>
      </c>
      <c r="Y234">
        <v>1258</v>
      </c>
      <c r="Z234" t="s">
        <v>171</v>
      </c>
      <c r="AA234" t="s">
        <v>45</v>
      </c>
      <c r="AB234" t="str">
        <f t="shared" si="28"/>
        <v>08</v>
      </c>
      <c r="AC234">
        <v>21736</v>
      </c>
      <c r="AD234">
        <v>617544</v>
      </c>
      <c r="AE234" t="s">
        <v>55</v>
      </c>
      <c r="AF234" t="s">
        <v>66</v>
      </c>
      <c r="AG234" t="s">
        <v>56</v>
      </c>
      <c r="AH234">
        <v>230</v>
      </c>
      <c r="AI234" s="7" t="str">
        <f t="shared" si="24"/>
        <v>10539620_08_230_230</v>
      </c>
      <c r="AJ234" t="s">
        <v>86</v>
      </c>
      <c r="AK234" t="s">
        <v>73</v>
      </c>
    </row>
    <row r="235" spans="1:41" x14ac:dyDescent="0.35">
      <c r="A235" s="3">
        <v>10539621</v>
      </c>
      <c r="B235" s="3" t="str">
        <f t="shared" si="25"/>
        <v>--233</v>
      </c>
      <c r="C235">
        <v>233</v>
      </c>
      <c r="D235" t="s">
        <v>39</v>
      </c>
      <c r="E235">
        <v>3</v>
      </c>
      <c r="F235">
        <v>40</v>
      </c>
      <c r="G235" t="s">
        <v>203</v>
      </c>
      <c r="H235">
        <v>31.059422099999999</v>
      </c>
      <c r="I235" t="str">
        <f>"-102.28474866"</f>
        <v>-102.28474866</v>
      </c>
      <c r="J235">
        <v>31.059572129999999</v>
      </c>
      <c r="K235" t="str">
        <f>"-102.2851642"</f>
        <v>-102.2851642</v>
      </c>
      <c r="L235" t="s">
        <v>149</v>
      </c>
      <c r="M235">
        <v>600476</v>
      </c>
      <c r="N235">
        <v>617544</v>
      </c>
      <c r="O235" t="s">
        <v>55</v>
      </c>
      <c r="P235" t="s">
        <v>66</v>
      </c>
      <c r="Q235">
        <v>0</v>
      </c>
      <c r="R235" t="s">
        <v>44</v>
      </c>
      <c r="S235">
        <v>406</v>
      </c>
      <c r="T235" t="s">
        <v>170</v>
      </c>
      <c r="U235">
        <v>31</v>
      </c>
      <c r="V235">
        <v>21</v>
      </c>
      <c r="W235">
        <v>3712</v>
      </c>
      <c r="X235" t="s">
        <v>69</v>
      </c>
      <c r="Y235">
        <v>829</v>
      </c>
      <c r="Z235" t="s">
        <v>68</v>
      </c>
      <c r="AI235" s="7" t="str">
        <f t="shared" si="24"/>
        <v>10539621___233</v>
      </c>
      <c r="AL235" s="1">
        <v>38534</v>
      </c>
      <c r="AM235">
        <v>5200</v>
      </c>
      <c r="AN235" t="s">
        <v>55</v>
      </c>
      <c r="AO235" t="s">
        <v>66</v>
      </c>
    </row>
    <row r="236" spans="1:41" x14ac:dyDescent="0.35">
      <c r="A236" s="3">
        <v>10539621</v>
      </c>
      <c r="B236" s="3" t="str">
        <f t="shared" si="25"/>
        <v>--</v>
      </c>
      <c r="D236" t="s">
        <v>218</v>
      </c>
      <c r="E236">
        <v>87</v>
      </c>
      <c r="G236" t="s">
        <v>203</v>
      </c>
      <c r="H236">
        <v>31.058388529999998</v>
      </c>
      <c r="I236" t="str">
        <f>"-102.28446051"</f>
        <v>-102.28446051</v>
      </c>
      <c r="J236">
        <v>31.058538559999999</v>
      </c>
      <c r="K236" t="str">
        <f>"-102.28487597"</f>
        <v>-102.28487597</v>
      </c>
      <c r="L236" t="s">
        <v>149</v>
      </c>
      <c r="M236">
        <v>600476</v>
      </c>
      <c r="N236">
        <v>617544</v>
      </c>
      <c r="O236" t="s">
        <v>55</v>
      </c>
      <c r="P236" t="s">
        <v>66</v>
      </c>
      <c r="Q236">
        <v>0</v>
      </c>
      <c r="R236" t="s">
        <v>44</v>
      </c>
      <c r="S236">
        <v>406</v>
      </c>
      <c r="T236" t="s">
        <v>170</v>
      </c>
      <c r="U236">
        <v>31</v>
      </c>
      <c r="V236">
        <v>21</v>
      </c>
      <c r="W236">
        <v>3712</v>
      </c>
      <c r="X236" t="s">
        <v>69</v>
      </c>
      <c r="Y236">
        <v>829</v>
      </c>
      <c r="Z236" t="s">
        <v>68</v>
      </c>
      <c r="AI236" s="7" t="str">
        <f t="shared" si="24"/>
        <v>10539621___</v>
      </c>
      <c r="AL236" s="1">
        <v>38534</v>
      </c>
      <c r="AM236">
        <v>5200</v>
      </c>
      <c r="AN236" t="s">
        <v>55</v>
      </c>
      <c r="AO236" t="s">
        <v>66</v>
      </c>
    </row>
    <row r="237" spans="1:41" x14ac:dyDescent="0.35">
      <c r="A237" s="3">
        <v>10539622</v>
      </c>
      <c r="B237" s="3" t="str">
        <f t="shared" si="25"/>
        <v>08-234-234</v>
      </c>
      <c r="C237">
        <v>234</v>
      </c>
      <c r="D237" t="s">
        <v>63</v>
      </c>
      <c r="E237">
        <v>4</v>
      </c>
      <c r="F237">
        <v>40</v>
      </c>
      <c r="G237" t="s">
        <v>203</v>
      </c>
      <c r="H237">
        <v>2967210.34678477</v>
      </c>
      <c r="I237" t="str">
        <f>"2293128.85170604"</f>
        <v>2293128.85170604</v>
      </c>
      <c r="J237">
        <v>31.05658918</v>
      </c>
      <c r="K237" t="str">
        <f>"-102.26265581"</f>
        <v>-102.26265581</v>
      </c>
      <c r="L237" t="s">
        <v>65</v>
      </c>
      <c r="M237">
        <v>600478</v>
      </c>
      <c r="N237">
        <v>617544</v>
      </c>
      <c r="O237" t="s">
        <v>55</v>
      </c>
      <c r="P237" t="s">
        <v>66</v>
      </c>
      <c r="Q237">
        <v>5590</v>
      </c>
      <c r="R237" t="s">
        <v>44</v>
      </c>
      <c r="S237">
        <v>407</v>
      </c>
      <c r="T237" t="s">
        <v>170</v>
      </c>
      <c r="U237">
        <v>31</v>
      </c>
      <c r="V237">
        <v>23</v>
      </c>
      <c r="W237">
        <v>883</v>
      </c>
      <c r="X237" t="s">
        <v>69</v>
      </c>
      <c r="Y237">
        <v>1206</v>
      </c>
      <c r="Z237" t="s">
        <v>68</v>
      </c>
      <c r="AA237" t="s">
        <v>45</v>
      </c>
      <c r="AB237" t="str">
        <f t="shared" ref="AB237:AB242" si="29">"08"</f>
        <v>08</v>
      </c>
      <c r="AC237">
        <v>21736</v>
      </c>
      <c r="AD237">
        <v>617544</v>
      </c>
      <c r="AE237" t="s">
        <v>55</v>
      </c>
      <c r="AF237" t="s">
        <v>66</v>
      </c>
      <c r="AG237" t="s">
        <v>56</v>
      </c>
      <c r="AH237">
        <v>234</v>
      </c>
      <c r="AI237" s="7" t="str">
        <f t="shared" si="24"/>
        <v>10539622_08_234_234</v>
      </c>
      <c r="AJ237" t="s">
        <v>72</v>
      </c>
      <c r="AK237" t="s">
        <v>73</v>
      </c>
    </row>
    <row r="238" spans="1:41" x14ac:dyDescent="0.35">
      <c r="A238" s="3">
        <v>10539966</v>
      </c>
      <c r="B238" s="3" t="str">
        <f t="shared" si="25"/>
        <v>08-241-241</v>
      </c>
      <c r="C238">
        <v>241</v>
      </c>
      <c r="D238" t="s">
        <v>63</v>
      </c>
      <c r="E238">
        <v>4</v>
      </c>
      <c r="F238">
        <v>55</v>
      </c>
      <c r="G238" t="s">
        <v>64</v>
      </c>
      <c r="H238">
        <v>31.048732229999999</v>
      </c>
      <c r="I238" t="str">
        <f>"-102.26095926"</f>
        <v>-102.26095926</v>
      </c>
      <c r="J238">
        <v>31.0488827</v>
      </c>
      <c r="K238" t="str">
        <f>"-102.26137396"</f>
        <v>-102.26137396</v>
      </c>
      <c r="L238" t="s">
        <v>65</v>
      </c>
      <c r="M238">
        <v>618390</v>
      </c>
      <c r="N238">
        <v>617544</v>
      </c>
      <c r="O238" t="s">
        <v>55</v>
      </c>
      <c r="P238" t="s">
        <v>66</v>
      </c>
      <c r="Q238">
        <v>5823</v>
      </c>
      <c r="R238" t="s">
        <v>44</v>
      </c>
      <c r="S238">
        <v>4940</v>
      </c>
      <c r="T238" t="s">
        <v>67</v>
      </c>
      <c r="U238">
        <v>31</v>
      </c>
      <c r="V238">
        <v>24</v>
      </c>
      <c r="W238">
        <v>4458</v>
      </c>
      <c r="X238" t="s">
        <v>219</v>
      </c>
      <c r="Y238">
        <v>755</v>
      </c>
      <c r="Z238" t="s">
        <v>220</v>
      </c>
      <c r="AA238" t="s">
        <v>45</v>
      </c>
      <c r="AB238" t="str">
        <f t="shared" si="29"/>
        <v>08</v>
      </c>
      <c r="AC238">
        <v>21736</v>
      </c>
      <c r="AD238">
        <v>617544</v>
      </c>
      <c r="AE238" t="s">
        <v>55</v>
      </c>
      <c r="AF238" t="s">
        <v>66</v>
      </c>
      <c r="AG238" t="s">
        <v>56</v>
      </c>
      <c r="AH238">
        <v>241</v>
      </c>
      <c r="AI238" s="7" t="str">
        <f t="shared" si="24"/>
        <v>10539966_08_241_241</v>
      </c>
      <c r="AJ238" t="s">
        <v>72</v>
      </c>
      <c r="AK238" t="s">
        <v>73</v>
      </c>
    </row>
    <row r="239" spans="1:41" x14ac:dyDescent="0.35">
      <c r="A239" s="3">
        <v>10540212</v>
      </c>
      <c r="B239" s="3" t="str">
        <f t="shared" si="25"/>
        <v>08-242-242</v>
      </c>
      <c r="C239">
        <v>242</v>
      </c>
      <c r="D239" t="s">
        <v>63</v>
      </c>
      <c r="E239">
        <v>4</v>
      </c>
      <c r="F239">
        <v>40</v>
      </c>
      <c r="G239" t="s">
        <v>203</v>
      </c>
      <c r="H239">
        <v>31.046251989999998</v>
      </c>
      <c r="I239" t="str">
        <f>"-102.25939379"</f>
        <v>-102.25939379</v>
      </c>
      <c r="J239">
        <v>31.04640259</v>
      </c>
      <c r="K239" t="str">
        <f>"-102.25980838"</f>
        <v>-102.25980838</v>
      </c>
      <c r="L239" t="s">
        <v>65</v>
      </c>
      <c r="M239">
        <v>632710</v>
      </c>
      <c r="N239">
        <v>617544</v>
      </c>
      <c r="O239" t="s">
        <v>55</v>
      </c>
      <c r="P239" t="s">
        <v>66</v>
      </c>
      <c r="Q239">
        <v>5550</v>
      </c>
      <c r="R239" t="s">
        <v>44</v>
      </c>
      <c r="S239">
        <v>4940</v>
      </c>
      <c r="T239" t="s">
        <v>221</v>
      </c>
      <c r="U239">
        <v>31</v>
      </c>
      <c r="V239">
        <v>24</v>
      </c>
      <c r="W239">
        <v>4852</v>
      </c>
      <c r="X239" t="s">
        <v>69</v>
      </c>
      <c r="Y239">
        <v>1164</v>
      </c>
      <c r="Z239" t="s">
        <v>171</v>
      </c>
      <c r="AA239" t="s">
        <v>45</v>
      </c>
      <c r="AB239" t="str">
        <f t="shared" si="29"/>
        <v>08</v>
      </c>
      <c r="AC239">
        <v>21736</v>
      </c>
      <c r="AD239">
        <v>617544</v>
      </c>
      <c r="AE239" t="s">
        <v>55</v>
      </c>
      <c r="AF239" t="s">
        <v>66</v>
      </c>
      <c r="AG239" t="s">
        <v>56</v>
      </c>
      <c r="AH239">
        <v>242</v>
      </c>
      <c r="AI239" s="7" t="str">
        <f t="shared" si="24"/>
        <v>10540212_08_242_242</v>
      </c>
      <c r="AJ239" t="s">
        <v>72</v>
      </c>
      <c r="AK239" t="s">
        <v>73</v>
      </c>
    </row>
    <row r="240" spans="1:41" x14ac:dyDescent="0.35">
      <c r="A240" s="3">
        <v>10540213</v>
      </c>
      <c r="B240" s="3" t="str">
        <f t="shared" si="25"/>
        <v>08-244-244</v>
      </c>
      <c r="C240">
        <v>244</v>
      </c>
      <c r="D240" t="s">
        <v>63</v>
      </c>
      <c r="E240">
        <v>4</v>
      </c>
      <c r="F240">
        <v>55</v>
      </c>
      <c r="G240" t="s">
        <v>64</v>
      </c>
      <c r="H240">
        <v>31.041619409999999</v>
      </c>
      <c r="I240" t="str">
        <f>"-102.26565837"</f>
        <v>-102.26565837</v>
      </c>
      <c r="J240">
        <v>31.04177009</v>
      </c>
      <c r="K240" t="str">
        <f>"-102.26607309"</f>
        <v>-102.26607309</v>
      </c>
      <c r="L240" t="s">
        <v>65</v>
      </c>
      <c r="M240">
        <v>632718</v>
      </c>
      <c r="N240">
        <v>617544</v>
      </c>
      <c r="O240" t="s">
        <v>55</v>
      </c>
      <c r="P240" t="s">
        <v>66</v>
      </c>
      <c r="Q240">
        <v>5550</v>
      </c>
      <c r="R240" t="s">
        <v>44</v>
      </c>
      <c r="S240">
        <v>4940</v>
      </c>
      <c r="T240" t="s">
        <v>67</v>
      </c>
      <c r="U240">
        <v>31</v>
      </c>
      <c r="V240">
        <v>24</v>
      </c>
      <c r="W240">
        <v>7384</v>
      </c>
      <c r="X240" t="s">
        <v>219</v>
      </c>
      <c r="Y240">
        <v>1300</v>
      </c>
      <c r="Z240" t="s">
        <v>220</v>
      </c>
      <c r="AA240" t="s">
        <v>45</v>
      </c>
      <c r="AB240" t="str">
        <f t="shared" si="29"/>
        <v>08</v>
      </c>
      <c r="AC240">
        <v>21736</v>
      </c>
      <c r="AD240">
        <v>617544</v>
      </c>
      <c r="AE240" t="s">
        <v>55</v>
      </c>
      <c r="AF240" t="s">
        <v>66</v>
      </c>
      <c r="AG240" t="s">
        <v>56</v>
      </c>
      <c r="AH240">
        <v>244</v>
      </c>
      <c r="AI240" s="7" t="str">
        <f t="shared" si="24"/>
        <v>10540213_08_244_244</v>
      </c>
      <c r="AJ240" t="s">
        <v>72</v>
      </c>
      <c r="AK240" t="s">
        <v>73</v>
      </c>
    </row>
    <row r="241" spans="1:37" x14ac:dyDescent="0.35">
      <c r="A241" s="3">
        <v>10540214</v>
      </c>
      <c r="B241" s="3" t="str">
        <f t="shared" si="25"/>
        <v>08-243-243</v>
      </c>
      <c r="C241">
        <v>243</v>
      </c>
      <c r="D241" t="s">
        <v>63</v>
      </c>
      <c r="E241">
        <v>4</v>
      </c>
      <c r="F241">
        <v>55</v>
      </c>
      <c r="G241" t="s">
        <v>64</v>
      </c>
      <c r="H241">
        <v>31.049463849999999</v>
      </c>
      <c r="I241" t="str">
        <f>"-102.26408337"</f>
        <v>-102.26408337</v>
      </c>
      <c r="J241">
        <v>31.049614259999998</v>
      </c>
      <c r="K241" t="str">
        <f>"-102.26449816"</f>
        <v>-102.26449816</v>
      </c>
      <c r="L241" t="s">
        <v>65</v>
      </c>
      <c r="M241">
        <v>632715</v>
      </c>
      <c r="N241">
        <v>617544</v>
      </c>
      <c r="O241" t="s">
        <v>55</v>
      </c>
      <c r="P241" t="s">
        <v>66</v>
      </c>
      <c r="Q241">
        <v>5515</v>
      </c>
      <c r="R241" t="s">
        <v>44</v>
      </c>
      <c r="S241">
        <v>407</v>
      </c>
      <c r="T241" t="s">
        <v>170</v>
      </c>
      <c r="U241">
        <v>31</v>
      </c>
      <c r="V241">
        <v>23</v>
      </c>
      <c r="W241">
        <v>3259</v>
      </c>
      <c r="X241" t="s">
        <v>219</v>
      </c>
      <c r="Y241">
        <v>164</v>
      </c>
      <c r="Z241" t="s">
        <v>222</v>
      </c>
      <c r="AA241" t="s">
        <v>45</v>
      </c>
      <c r="AB241" t="str">
        <f t="shared" si="29"/>
        <v>08</v>
      </c>
      <c r="AC241">
        <v>21736</v>
      </c>
      <c r="AD241">
        <v>617544</v>
      </c>
      <c r="AE241" t="s">
        <v>55</v>
      </c>
      <c r="AF241" t="s">
        <v>66</v>
      </c>
      <c r="AG241" t="s">
        <v>56</v>
      </c>
      <c r="AH241">
        <v>243</v>
      </c>
      <c r="AI241" s="7" t="str">
        <f t="shared" si="24"/>
        <v>10540214_08_243_243</v>
      </c>
      <c r="AJ241" t="s">
        <v>72</v>
      </c>
      <c r="AK241" t="s">
        <v>73</v>
      </c>
    </row>
    <row r="242" spans="1:37" x14ac:dyDescent="0.35">
      <c r="A242" s="3">
        <v>10540225</v>
      </c>
      <c r="B242" s="3" t="str">
        <f t="shared" si="25"/>
        <v>08-245-245</v>
      </c>
      <c r="C242">
        <v>245</v>
      </c>
      <c r="D242" t="s">
        <v>142</v>
      </c>
      <c r="E242">
        <v>11</v>
      </c>
      <c r="F242">
        <v>55</v>
      </c>
      <c r="G242" t="s">
        <v>64</v>
      </c>
      <c r="H242">
        <v>31.044369450000001</v>
      </c>
      <c r="I242" t="str">
        <f>"-102.26841944"</f>
        <v>-102.26841944</v>
      </c>
      <c r="J242">
        <v>31.044543310000002</v>
      </c>
      <c r="K242" t="str">
        <f>"-102.26885527"</f>
        <v>-102.26885527</v>
      </c>
      <c r="L242" t="s">
        <v>65</v>
      </c>
      <c r="M242">
        <v>632720</v>
      </c>
      <c r="N242">
        <v>617544</v>
      </c>
      <c r="O242" t="s">
        <v>55</v>
      </c>
      <c r="P242" t="s">
        <v>66</v>
      </c>
      <c r="Q242">
        <v>5492</v>
      </c>
      <c r="R242" t="s">
        <v>44</v>
      </c>
      <c r="S242">
        <v>407</v>
      </c>
      <c r="T242" t="s">
        <v>170</v>
      </c>
      <c r="U242">
        <v>31</v>
      </c>
      <c r="V242">
        <v>23</v>
      </c>
      <c r="W242">
        <v>5551</v>
      </c>
      <c r="X242" t="s">
        <v>219</v>
      </c>
      <c r="Y242">
        <v>6</v>
      </c>
      <c r="Z242" t="s">
        <v>222</v>
      </c>
      <c r="AA242" t="s">
        <v>45</v>
      </c>
      <c r="AB242" t="str">
        <f t="shared" si="29"/>
        <v>08</v>
      </c>
      <c r="AC242">
        <v>21736</v>
      </c>
      <c r="AD242">
        <v>617544</v>
      </c>
      <c r="AE242" t="s">
        <v>55</v>
      </c>
      <c r="AF242" t="s">
        <v>66</v>
      </c>
      <c r="AG242" t="s">
        <v>56</v>
      </c>
      <c r="AH242">
        <v>245</v>
      </c>
      <c r="AI242" s="7" t="str">
        <f t="shared" si="24"/>
        <v>10540225_08_245_245</v>
      </c>
      <c r="AJ242" t="s">
        <v>86</v>
      </c>
      <c r="AK242" t="s">
        <v>73</v>
      </c>
    </row>
    <row r="243" spans="1:37" x14ac:dyDescent="0.35">
      <c r="A243" s="3">
        <v>10540226</v>
      </c>
      <c r="B243" s="3" t="str">
        <f t="shared" si="25"/>
        <v>--246</v>
      </c>
      <c r="C243">
        <v>246</v>
      </c>
      <c r="D243" t="s">
        <v>199</v>
      </c>
      <c r="E243">
        <v>2</v>
      </c>
      <c r="F243">
        <v>40</v>
      </c>
      <c r="G243" t="s">
        <v>203</v>
      </c>
      <c r="H243">
        <v>31.04247659</v>
      </c>
      <c r="I243" t="str">
        <f>"-102.2632441"</f>
        <v>-102.2632441</v>
      </c>
      <c r="J243">
        <v>31.042627280000001</v>
      </c>
      <c r="K243" t="str">
        <f>"-102.26365873"</f>
        <v>-102.26365873</v>
      </c>
      <c r="L243" t="s">
        <v>200</v>
      </c>
      <c r="M243">
        <v>632721</v>
      </c>
      <c r="N243">
        <v>617544</v>
      </c>
      <c r="O243" t="s">
        <v>55</v>
      </c>
      <c r="P243" t="s">
        <v>66</v>
      </c>
      <c r="Q243">
        <v>0</v>
      </c>
      <c r="R243" t="s">
        <v>44</v>
      </c>
      <c r="S243">
        <v>4940</v>
      </c>
      <c r="T243" t="s">
        <v>223</v>
      </c>
      <c r="U243">
        <v>31</v>
      </c>
      <c r="V243">
        <v>24</v>
      </c>
      <c r="W243">
        <v>6678</v>
      </c>
      <c r="X243" t="s">
        <v>219</v>
      </c>
      <c r="Y243">
        <v>1210</v>
      </c>
      <c r="Z243" t="s">
        <v>222</v>
      </c>
      <c r="AI243" s="7" t="str">
        <f t="shared" si="24"/>
        <v>10540226___246</v>
      </c>
    </row>
    <row r="244" spans="1:37" x14ac:dyDescent="0.35">
      <c r="A244" s="3">
        <v>10540537</v>
      </c>
      <c r="B244" s="3" t="str">
        <f t="shared" si="25"/>
        <v>08-252-252</v>
      </c>
      <c r="C244">
        <v>252</v>
      </c>
      <c r="D244" t="s">
        <v>63</v>
      </c>
      <c r="E244">
        <v>4</v>
      </c>
      <c r="F244">
        <v>40</v>
      </c>
      <c r="G244" t="s">
        <v>203</v>
      </c>
      <c r="H244">
        <v>2964299.2450787402</v>
      </c>
      <c r="I244" t="str">
        <f>"2295334.12664042"</f>
        <v>2295334.12664042</v>
      </c>
      <c r="J244">
        <v>31.04869472</v>
      </c>
      <c r="K244" t="str">
        <f>"-102.25541005"</f>
        <v>-102.25541005</v>
      </c>
      <c r="L244" t="s">
        <v>65</v>
      </c>
      <c r="M244">
        <v>653908</v>
      </c>
      <c r="N244">
        <v>617544</v>
      </c>
      <c r="O244" t="s">
        <v>55</v>
      </c>
      <c r="P244" t="s">
        <v>66</v>
      </c>
      <c r="Q244">
        <v>5528</v>
      </c>
      <c r="R244" t="s">
        <v>44</v>
      </c>
      <c r="S244">
        <v>4940</v>
      </c>
      <c r="T244" t="s">
        <v>67</v>
      </c>
      <c r="U244">
        <v>31</v>
      </c>
      <c r="V244">
        <v>24</v>
      </c>
      <c r="W244">
        <v>3331</v>
      </c>
      <c r="X244" t="s">
        <v>219</v>
      </c>
      <c r="Y244">
        <v>630</v>
      </c>
      <c r="Z244" t="s">
        <v>222</v>
      </c>
      <c r="AA244" t="s">
        <v>45</v>
      </c>
      <c r="AB244" t="str">
        <f t="shared" ref="AB244:AB260" si="30">"08"</f>
        <v>08</v>
      </c>
      <c r="AC244">
        <v>21736</v>
      </c>
      <c r="AD244">
        <v>617544</v>
      </c>
      <c r="AE244" t="s">
        <v>55</v>
      </c>
      <c r="AF244" t="s">
        <v>66</v>
      </c>
      <c r="AG244" t="s">
        <v>56</v>
      </c>
      <c r="AH244">
        <v>252</v>
      </c>
      <c r="AI244" s="7" t="str">
        <f t="shared" si="24"/>
        <v>10540537_08_252_252</v>
      </c>
      <c r="AJ244" t="s">
        <v>72</v>
      </c>
      <c r="AK244" t="s">
        <v>73</v>
      </c>
    </row>
    <row r="245" spans="1:37" x14ac:dyDescent="0.35">
      <c r="A245" s="3">
        <v>10540538</v>
      </c>
      <c r="B245" s="3" t="str">
        <f t="shared" si="25"/>
        <v>08-248-248</v>
      </c>
      <c r="C245">
        <v>248</v>
      </c>
      <c r="D245" t="s">
        <v>63</v>
      </c>
      <c r="E245">
        <v>4</v>
      </c>
      <c r="F245">
        <v>55</v>
      </c>
      <c r="G245" t="s">
        <v>64</v>
      </c>
      <c r="H245">
        <v>31.046166629999998</v>
      </c>
      <c r="I245" t="str">
        <f>"-102.25672782"</f>
        <v>-102.25672782</v>
      </c>
      <c r="J245">
        <v>31.046317210000002</v>
      </c>
      <c r="K245" t="str">
        <f>"-102.2571423"</f>
        <v>-102.2571423</v>
      </c>
      <c r="L245" t="s">
        <v>65</v>
      </c>
      <c r="M245">
        <v>653921</v>
      </c>
      <c r="N245">
        <v>617544</v>
      </c>
      <c r="O245" t="s">
        <v>55</v>
      </c>
      <c r="P245" t="s">
        <v>66</v>
      </c>
      <c r="Q245">
        <v>5620</v>
      </c>
      <c r="R245" t="s">
        <v>44</v>
      </c>
      <c r="S245">
        <v>4940</v>
      </c>
      <c r="T245" t="s">
        <v>67</v>
      </c>
      <c r="U245">
        <v>31</v>
      </c>
      <c r="V245">
        <v>24</v>
      </c>
      <c r="W245">
        <v>4316</v>
      </c>
      <c r="X245" t="s">
        <v>219</v>
      </c>
      <c r="Y245">
        <v>403</v>
      </c>
      <c r="Z245" t="s">
        <v>222</v>
      </c>
      <c r="AA245" t="s">
        <v>45</v>
      </c>
      <c r="AB245" t="str">
        <f t="shared" si="30"/>
        <v>08</v>
      </c>
      <c r="AC245">
        <v>21736</v>
      </c>
      <c r="AD245">
        <v>617544</v>
      </c>
      <c r="AE245" t="s">
        <v>55</v>
      </c>
      <c r="AF245" t="s">
        <v>66</v>
      </c>
      <c r="AG245" t="s">
        <v>56</v>
      </c>
      <c r="AH245">
        <v>248</v>
      </c>
      <c r="AI245" s="7" t="str">
        <f t="shared" si="24"/>
        <v>10540538_08_248_248</v>
      </c>
      <c r="AJ245" t="s">
        <v>72</v>
      </c>
      <c r="AK245" t="s">
        <v>73</v>
      </c>
    </row>
    <row r="246" spans="1:37" x14ac:dyDescent="0.35">
      <c r="A246" s="3">
        <v>10540540</v>
      </c>
      <c r="B246" s="3" t="str">
        <f t="shared" si="25"/>
        <v>08-249-249</v>
      </c>
      <c r="C246">
        <v>249</v>
      </c>
      <c r="D246" t="s">
        <v>76</v>
      </c>
      <c r="E246">
        <v>21</v>
      </c>
      <c r="F246">
        <v>40</v>
      </c>
      <c r="G246" t="s">
        <v>203</v>
      </c>
      <c r="H246">
        <v>2965818.23687664</v>
      </c>
      <c r="I246" t="str">
        <f>"2293985.93930446"</f>
        <v>2293985.93930446</v>
      </c>
      <c r="J246">
        <v>31.052784859999999</v>
      </c>
      <c r="K246" t="str">
        <f>"-102.25981036"</f>
        <v>-102.25981036</v>
      </c>
      <c r="L246" t="s">
        <v>65</v>
      </c>
      <c r="M246">
        <v>653897</v>
      </c>
      <c r="N246">
        <v>617544</v>
      </c>
      <c r="O246" t="s">
        <v>55</v>
      </c>
      <c r="P246" t="s">
        <v>66</v>
      </c>
      <c r="Q246">
        <v>5550</v>
      </c>
      <c r="R246" t="s">
        <v>44</v>
      </c>
      <c r="S246">
        <v>4940</v>
      </c>
      <c r="T246" t="s">
        <v>67</v>
      </c>
      <c r="U246">
        <v>31</v>
      </c>
      <c r="V246">
        <v>24</v>
      </c>
      <c r="W246">
        <v>3075</v>
      </c>
      <c r="X246" t="s">
        <v>219</v>
      </c>
      <c r="Y246">
        <v>155</v>
      </c>
      <c r="Z246" t="s">
        <v>220</v>
      </c>
      <c r="AA246" t="s">
        <v>45</v>
      </c>
      <c r="AB246" t="str">
        <f t="shared" si="30"/>
        <v>08</v>
      </c>
      <c r="AC246">
        <v>21736</v>
      </c>
      <c r="AD246">
        <v>617544</v>
      </c>
      <c r="AE246" t="s">
        <v>55</v>
      </c>
      <c r="AF246" t="s">
        <v>66</v>
      </c>
      <c r="AG246" t="s">
        <v>56</v>
      </c>
      <c r="AH246">
        <v>249</v>
      </c>
      <c r="AI246" s="7" t="str">
        <f t="shared" si="24"/>
        <v>10540540_08_249_249</v>
      </c>
      <c r="AJ246" t="s">
        <v>86</v>
      </c>
      <c r="AK246" t="s">
        <v>73</v>
      </c>
    </row>
    <row r="247" spans="1:37" x14ac:dyDescent="0.35">
      <c r="A247" s="3">
        <v>10540541</v>
      </c>
      <c r="B247" s="3" t="str">
        <f t="shared" si="25"/>
        <v>08-250-250</v>
      </c>
      <c r="C247">
        <v>250</v>
      </c>
      <c r="D247" t="s">
        <v>63</v>
      </c>
      <c r="E247">
        <v>4</v>
      </c>
      <c r="F247">
        <v>40</v>
      </c>
      <c r="G247" t="s">
        <v>203</v>
      </c>
      <c r="H247">
        <v>31.05525536</v>
      </c>
      <c r="I247" t="str">
        <f>"-102.25881348"</f>
        <v>-102.25881348</v>
      </c>
      <c r="J247">
        <v>31.055405709999999</v>
      </c>
      <c r="K247" t="str">
        <f>"-102.2592282"</f>
        <v>-102.2592282</v>
      </c>
      <c r="L247" t="s">
        <v>65</v>
      </c>
      <c r="M247">
        <v>653901</v>
      </c>
      <c r="N247">
        <v>617544</v>
      </c>
      <c r="O247" t="s">
        <v>55</v>
      </c>
      <c r="P247" t="s">
        <v>66</v>
      </c>
      <c r="Q247">
        <v>5600</v>
      </c>
      <c r="R247" t="s">
        <v>44</v>
      </c>
      <c r="S247">
        <v>407</v>
      </c>
      <c r="T247" t="s">
        <v>170</v>
      </c>
      <c r="U247">
        <v>31</v>
      </c>
      <c r="V247">
        <v>23</v>
      </c>
      <c r="W247">
        <v>494</v>
      </c>
      <c r="X247" t="s">
        <v>219</v>
      </c>
      <c r="Y247">
        <v>320</v>
      </c>
      <c r="Z247" t="s">
        <v>222</v>
      </c>
      <c r="AA247" t="s">
        <v>45</v>
      </c>
      <c r="AB247" t="str">
        <f t="shared" si="30"/>
        <v>08</v>
      </c>
      <c r="AC247">
        <v>21736</v>
      </c>
      <c r="AD247">
        <v>617544</v>
      </c>
      <c r="AE247" t="s">
        <v>55</v>
      </c>
      <c r="AF247" t="s">
        <v>66</v>
      </c>
      <c r="AG247" t="s">
        <v>56</v>
      </c>
      <c r="AH247">
        <v>250</v>
      </c>
      <c r="AI247" s="7" t="str">
        <f t="shared" si="24"/>
        <v>10540541_08_250_250</v>
      </c>
      <c r="AJ247" t="s">
        <v>72</v>
      </c>
      <c r="AK247" t="s">
        <v>73</v>
      </c>
    </row>
    <row r="248" spans="1:37" x14ac:dyDescent="0.35">
      <c r="A248" s="3">
        <v>10540939</v>
      </c>
      <c r="B248" s="3" t="str">
        <f t="shared" si="25"/>
        <v>08-255-255</v>
      </c>
      <c r="C248">
        <v>255</v>
      </c>
      <c r="D248" t="s">
        <v>63</v>
      </c>
      <c r="E248">
        <v>4</v>
      </c>
      <c r="F248">
        <v>40</v>
      </c>
      <c r="G248" t="s">
        <v>203</v>
      </c>
      <c r="H248">
        <v>31.05587616</v>
      </c>
      <c r="I248" t="str">
        <f>"-102.27415962"</f>
        <v>-102.27415962</v>
      </c>
      <c r="J248">
        <v>31.0560264</v>
      </c>
      <c r="K248" t="str">
        <f>"-102.27457475"</f>
        <v>-102.27457475</v>
      </c>
      <c r="L248" t="s">
        <v>65</v>
      </c>
      <c r="M248">
        <v>675993</v>
      </c>
      <c r="N248">
        <v>617544</v>
      </c>
      <c r="O248" t="s">
        <v>55</v>
      </c>
      <c r="P248" t="s">
        <v>66</v>
      </c>
      <c r="Q248">
        <v>5370</v>
      </c>
      <c r="R248" t="s">
        <v>44</v>
      </c>
      <c r="S248">
        <v>5096</v>
      </c>
      <c r="T248" t="s">
        <v>224</v>
      </c>
      <c r="U248">
        <v>31</v>
      </c>
      <c r="V248">
        <v>22</v>
      </c>
      <c r="W248">
        <v>2161</v>
      </c>
      <c r="X248" t="s">
        <v>219</v>
      </c>
      <c r="Y248">
        <v>1267</v>
      </c>
      <c r="Z248" t="s">
        <v>220</v>
      </c>
      <c r="AA248" t="s">
        <v>45</v>
      </c>
      <c r="AB248" t="str">
        <f t="shared" si="30"/>
        <v>08</v>
      </c>
      <c r="AC248">
        <v>21736</v>
      </c>
      <c r="AD248">
        <v>617544</v>
      </c>
      <c r="AE248" t="s">
        <v>55</v>
      </c>
      <c r="AF248" t="s">
        <v>66</v>
      </c>
      <c r="AG248" t="s">
        <v>56</v>
      </c>
      <c r="AH248">
        <v>255</v>
      </c>
      <c r="AI248" s="7" t="str">
        <f t="shared" si="24"/>
        <v>10540939_08_255_255</v>
      </c>
      <c r="AJ248" t="s">
        <v>72</v>
      </c>
      <c r="AK248" t="s">
        <v>73</v>
      </c>
    </row>
    <row r="249" spans="1:37" x14ac:dyDescent="0.35">
      <c r="A249" s="3">
        <v>10541021</v>
      </c>
      <c r="B249" s="3" t="str">
        <f t="shared" si="25"/>
        <v>08-258-258</v>
      </c>
      <c r="C249">
        <v>258</v>
      </c>
      <c r="D249" t="s">
        <v>76</v>
      </c>
      <c r="E249">
        <v>21</v>
      </c>
      <c r="F249">
        <v>40</v>
      </c>
      <c r="G249" t="s">
        <v>203</v>
      </c>
      <c r="H249">
        <v>2963978.6286089299</v>
      </c>
      <c r="I249" t="str">
        <f>"2292258.2992126"</f>
        <v>2292258.2992126</v>
      </c>
      <c r="J249">
        <v>31.047638469999999</v>
      </c>
      <c r="K249" t="str">
        <f>"-102.26522942"</f>
        <v>-102.26522942</v>
      </c>
      <c r="L249" t="s">
        <v>65</v>
      </c>
      <c r="M249">
        <v>686359</v>
      </c>
      <c r="N249">
        <v>617544</v>
      </c>
      <c r="O249" t="s">
        <v>55</v>
      </c>
      <c r="P249" t="s">
        <v>66</v>
      </c>
      <c r="Q249">
        <v>5575</v>
      </c>
      <c r="R249" t="s">
        <v>44</v>
      </c>
      <c r="S249">
        <v>4940</v>
      </c>
      <c r="T249" t="s">
        <v>67</v>
      </c>
      <c r="U249">
        <v>31</v>
      </c>
      <c r="V249">
        <v>24</v>
      </c>
      <c r="W249">
        <v>62</v>
      </c>
      <c r="X249" t="s">
        <v>220</v>
      </c>
      <c r="Y249">
        <v>3856</v>
      </c>
      <c r="Z249" t="s">
        <v>219</v>
      </c>
      <c r="AA249" t="s">
        <v>45</v>
      </c>
      <c r="AB249" t="str">
        <f t="shared" si="30"/>
        <v>08</v>
      </c>
      <c r="AC249">
        <v>21736</v>
      </c>
      <c r="AD249">
        <v>617544</v>
      </c>
      <c r="AE249" t="s">
        <v>55</v>
      </c>
      <c r="AF249" t="s">
        <v>66</v>
      </c>
      <c r="AG249" t="s">
        <v>56</v>
      </c>
      <c r="AH249">
        <v>258</v>
      </c>
      <c r="AI249" s="7" t="str">
        <f t="shared" si="24"/>
        <v>10541021_08_258_258</v>
      </c>
      <c r="AJ249" t="s">
        <v>86</v>
      </c>
      <c r="AK249" t="s">
        <v>73</v>
      </c>
    </row>
    <row r="250" spans="1:37" x14ac:dyDescent="0.35">
      <c r="A250" s="3">
        <v>10541022</v>
      </c>
      <c r="B250" s="3" t="str">
        <f t="shared" si="25"/>
        <v>08-259-259</v>
      </c>
      <c r="C250">
        <v>259</v>
      </c>
      <c r="D250" t="s">
        <v>63</v>
      </c>
      <c r="E250">
        <v>4</v>
      </c>
      <c r="F250">
        <v>55</v>
      </c>
      <c r="G250" t="s">
        <v>64</v>
      </c>
      <c r="H250">
        <v>31.053466629999999</v>
      </c>
      <c r="I250" t="str">
        <f>"-102.27279449"</f>
        <v>-102.27279449</v>
      </c>
      <c r="J250">
        <v>31.05361688</v>
      </c>
      <c r="K250" t="str">
        <f>"-102.27320957"</f>
        <v>-102.27320957</v>
      </c>
      <c r="L250" t="s">
        <v>65</v>
      </c>
      <c r="M250">
        <v>686361</v>
      </c>
      <c r="N250">
        <v>617544</v>
      </c>
      <c r="O250" t="s">
        <v>55</v>
      </c>
      <c r="P250" t="s">
        <v>66</v>
      </c>
      <c r="Q250">
        <v>5405</v>
      </c>
      <c r="R250" t="s">
        <v>44</v>
      </c>
      <c r="S250">
        <v>5096</v>
      </c>
      <c r="T250" t="s">
        <v>224</v>
      </c>
      <c r="U250">
        <v>31</v>
      </c>
      <c r="V250">
        <v>22</v>
      </c>
      <c r="W250">
        <v>2574</v>
      </c>
      <c r="X250" t="s">
        <v>219</v>
      </c>
      <c r="Y250">
        <v>548</v>
      </c>
      <c r="Z250" t="s">
        <v>222</v>
      </c>
      <c r="AA250" t="s">
        <v>45</v>
      </c>
      <c r="AB250" t="str">
        <f t="shared" si="30"/>
        <v>08</v>
      </c>
      <c r="AC250">
        <v>21736</v>
      </c>
      <c r="AD250">
        <v>617544</v>
      </c>
      <c r="AE250" t="s">
        <v>55</v>
      </c>
      <c r="AF250" t="s">
        <v>66</v>
      </c>
      <c r="AG250" t="s">
        <v>56</v>
      </c>
      <c r="AH250">
        <v>259</v>
      </c>
      <c r="AI250" s="7" t="str">
        <f t="shared" si="24"/>
        <v>10541022_08_259_259</v>
      </c>
      <c r="AJ250" t="s">
        <v>72</v>
      </c>
      <c r="AK250" t="s">
        <v>73</v>
      </c>
    </row>
    <row r="251" spans="1:37" x14ac:dyDescent="0.35">
      <c r="A251" s="3">
        <v>10541852</v>
      </c>
      <c r="B251" s="3" t="str">
        <f t="shared" si="25"/>
        <v>08-264-264</v>
      </c>
      <c r="C251">
        <v>264</v>
      </c>
      <c r="D251" t="s">
        <v>63</v>
      </c>
      <c r="E251">
        <v>4</v>
      </c>
      <c r="F251">
        <v>55</v>
      </c>
      <c r="G251" t="s">
        <v>64</v>
      </c>
      <c r="H251">
        <v>2961197.93372704</v>
      </c>
      <c r="I251" t="str">
        <f>"2290199.55314961"</f>
        <v>2290199.55314961</v>
      </c>
      <c r="J251">
        <v>31.03984479</v>
      </c>
      <c r="K251" t="str">
        <f>"-102.2716208"</f>
        <v>-102.2716208</v>
      </c>
      <c r="L251" t="s">
        <v>65</v>
      </c>
      <c r="M251">
        <v>768071</v>
      </c>
      <c r="N251">
        <v>617544</v>
      </c>
      <c r="O251" t="s">
        <v>55</v>
      </c>
      <c r="P251" t="s">
        <v>66</v>
      </c>
      <c r="Q251">
        <v>5500</v>
      </c>
      <c r="R251" t="s">
        <v>44</v>
      </c>
      <c r="S251">
        <v>4940</v>
      </c>
      <c r="T251" t="s">
        <v>67</v>
      </c>
      <c r="U251">
        <v>31</v>
      </c>
      <c r="V251">
        <v>24</v>
      </c>
      <c r="W251">
        <v>9061</v>
      </c>
      <c r="X251" t="s">
        <v>219</v>
      </c>
      <c r="Y251">
        <v>427</v>
      </c>
      <c r="Z251" t="s">
        <v>220</v>
      </c>
      <c r="AA251" t="s">
        <v>45</v>
      </c>
      <c r="AB251" t="str">
        <f t="shared" si="30"/>
        <v>08</v>
      </c>
      <c r="AC251">
        <v>21736</v>
      </c>
      <c r="AD251">
        <v>617544</v>
      </c>
      <c r="AE251" t="s">
        <v>55</v>
      </c>
      <c r="AF251" t="s">
        <v>66</v>
      </c>
      <c r="AG251" t="s">
        <v>56</v>
      </c>
      <c r="AH251">
        <v>264</v>
      </c>
      <c r="AI251" s="7" t="str">
        <f t="shared" si="24"/>
        <v>10541852_08_264_264</v>
      </c>
      <c r="AJ251" t="s">
        <v>72</v>
      </c>
      <c r="AK251" t="s">
        <v>73</v>
      </c>
    </row>
    <row r="252" spans="1:37" x14ac:dyDescent="0.35">
      <c r="A252" s="3">
        <v>10541853</v>
      </c>
      <c r="B252" s="3" t="str">
        <f t="shared" si="25"/>
        <v>08-262-262</v>
      </c>
      <c r="C252">
        <v>262</v>
      </c>
      <c r="D252" t="s">
        <v>63</v>
      </c>
      <c r="E252">
        <v>4</v>
      </c>
      <c r="F252">
        <v>55</v>
      </c>
      <c r="G252" t="s">
        <v>64</v>
      </c>
      <c r="H252">
        <v>31.057191629999998</v>
      </c>
      <c r="I252" t="str">
        <f>"-102.27123893"</f>
        <v>-102.27123893</v>
      </c>
      <c r="J252">
        <v>31.057341770000001</v>
      </c>
      <c r="K252" t="str">
        <f>"-102.27165398"</f>
        <v>-102.27165398</v>
      </c>
      <c r="L252" t="s">
        <v>65</v>
      </c>
      <c r="M252">
        <v>768065</v>
      </c>
      <c r="N252">
        <v>617544</v>
      </c>
      <c r="O252" t="s">
        <v>55</v>
      </c>
      <c r="P252" t="s">
        <v>66</v>
      </c>
      <c r="Q252">
        <v>5487</v>
      </c>
      <c r="R252" t="s">
        <v>44</v>
      </c>
      <c r="S252">
        <v>5096</v>
      </c>
      <c r="T252" t="s">
        <v>224</v>
      </c>
      <c r="U252">
        <v>31</v>
      </c>
      <c r="V252">
        <v>22</v>
      </c>
      <c r="W252">
        <v>1224</v>
      </c>
      <c r="X252" t="s">
        <v>219</v>
      </c>
      <c r="Y252">
        <v>1050</v>
      </c>
      <c r="Z252" t="s">
        <v>222</v>
      </c>
      <c r="AA252" t="s">
        <v>45</v>
      </c>
      <c r="AB252" t="str">
        <f t="shared" si="30"/>
        <v>08</v>
      </c>
      <c r="AC252">
        <v>21736</v>
      </c>
      <c r="AD252">
        <v>617544</v>
      </c>
      <c r="AE252" t="s">
        <v>55</v>
      </c>
      <c r="AF252" t="s">
        <v>66</v>
      </c>
      <c r="AG252" t="s">
        <v>56</v>
      </c>
      <c r="AH252">
        <v>262</v>
      </c>
      <c r="AI252" s="7" t="str">
        <f t="shared" si="24"/>
        <v>10541853_08_262_262</v>
      </c>
      <c r="AJ252" t="s">
        <v>72</v>
      </c>
      <c r="AK252" t="s">
        <v>73</v>
      </c>
    </row>
    <row r="253" spans="1:37" x14ac:dyDescent="0.35">
      <c r="A253" s="3">
        <v>10541858</v>
      </c>
      <c r="B253" s="3" t="str">
        <f t="shared" si="25"/>
        <v>08-263-263</v>
      </c>
      <c r="C253">
        <v>263</v>
      </c>
      <c r="D253" t="s">
        <v>63</v>
      </c>
      <c r="E253">
        <v>4</v>
      </c>
      <c r="F253">
        <v>55</v>
      </c>
      <c r="G253" t="s">
        <v>64</v>
      </c>
      <c r="H253">
        <v>2965754.8723753202</v>
      </c>
      <c r="I253" t="str">
        <f>"2294939.1003937"</f>
        <v>2294939.1003937</v>
      </c>
      <c r="J253">
        <v>31.052682000000001</v>
      </c>
      <c r="K253" t="str">
        <f>"-102.25676886"</f>
        <v>-102.25676886</v>
      </c>
      <c r="L253" t="s">
        <v>65</v>
      </c>
      <c r="M253">
        <v>768067</v>
      </c>
      <c r="N253">
        <v>617544</v>
      </c>
      <c r="O253" t="s">
        <v>55</v>
      </c>
      <c r="P253" t="s">
        <v>66</v>
      </c>
      <c r="Q253">
        <v>5525</v>
      </c>
      <c r="R253" t="s">
        <v>44</v>
      </c>
      <c r="S253">
        <v>4940</v>
      </c>
      <c r="T253" t="s">
        <v>67</v>
      </c>
      <c r="U253">
        <v>31</v>
      </c>
      <c r="V253">
        <v>24</v>
      </c>
      <c r="W253">
        <v>976</v>
      </c>
      <c r="X253" t="s">
        <v>68</v>
      </c>
      <c r="Y253">
        <v>2490</v>
      </c>
      <c r="Z253" t="s">
        <v>69</v>
      </c>
      <c r="AA253" t="s">
        <v>45</v>
      </c>
      <c r="AB253" t="str">
        <f t="shared" si="30"/>
        <v>08</v>
      </c>
      <c r="AC253">
        <v>21736</v>
      </c>
      <c r="AD253">
        <v>617544</v>
      </c>
      <c r="AE253" t="s">
        <v>55</v>
      </c>
      <c r="AF253" t="s">
        <v>66</v>
      </c>
      <c r="AG253" t="s">
        <v>56</v>
      </c>
      <c r="AH253">
        <v>263</v>
      </c>
      <c r="AI253" s="7" t="str">
        <f t="shared" si="24"/>
        <v>10541858_08_263_263</v>
      </c>
      <c r="AJ253" t="s">
        <v>72</v>
      </c>
      <c r="AK253" t="s">
        <v>73</v>
      </c>
    </row>
    <row r="254" spans="1:37" x14ac:dyDescent="0.35">
      <c r="A254" s="3">
        <v>10542051</v>
      </c>
      <c r="B254" s="3" t="str">
        <f t="shared" si="25"/>
        <v>08-267-267</v>
      </c>
      <c r="C254">
        <v>267</v>
      </c>
      <c r="D254" t="s">
        <v>142</v>
      </c>
      <c r="E254">
        <v>11</v>
      </c>
      <c r="F254">
        <v>40</v>
      </c>
      <c r="G254" t="s">
        <v>203</v>
      </c>
      <c r="H254">
        <v>2970590.0367454099</v>
      </c>
      <c r="I254" t="str">
        <f>"2289230.11089239"</f>
        <v>2289230.11089239</v>
      </c>
      <c r="J254">
        <v>31.065659950000001</v>
      </c>
      <c r="K254" t="str">
        <f>"-102.27534031"</f>
        <v>-102.27534031</v>
      </c>
      <c r="L254" t="s">
        <v>65</v>
      </c>
      <c r="M254">
        <v>785946</v>
      </c>
      <c r="N254">
        <v>617544</v>
      </c>
      <c r="O254" t="s">
        <v>55</v>
      </c>
      <c r="P254" t="s">
        <v>66</v>
      </c>
      <c r="Q254">
        <v>5667</v>
      </c>
      <c r="R254" t="s">
        <v>44</v>
      </c>
      <c r="S254">
        <v>4937</v>
      </c>
      <c r="T254" t="s">
        <v>67</v>
      </c>
      <c r="U254">
        <v>35</v>
      </c>
      <c r="V254">
        <v>58</v>
      </c>
      <c r="W254">
        <v>1</v>
      </c>
      <c r="X254" t="s">
        <v>225</v>
      </c>
      <c r="Y254">
        <v>1396</v>
      </c>
      <c r="Z254" t="s">
        <v>68</v>
      </c>
      <c r="AA254" t="s">
        <v>45</v>
      </c>
      <c r="AB254" t="str">
        <f t="shared" si="30"/>
        <v>08</v>
      </c>
      <c r="AC254">
        <v>21736</v>
      </c>
      <c r="AD254">
        <v>617544</v>
      </c>
      <c r="AE254" t="s">
        <v>55</v>
      </c>
      <c r="AF254" t="s">
        <v>66</v>
      </c>
      <c r="AG254" t="s">
        <v>56</v>
      </c>
      <c r="AH254">
        <v>267</v>
      </c>
      <c r="AI254" s="7" t="str">
        <f t="shared" si="24"/>
        <v>10542051_08_267_267</v>
      </c>
      <c r="AJ254" t="s">
        <v>86</v>
      </c>
      <c r="AK254" t="s">
        <v>73</v>
      </c>
    </row>
    <row r="255" spans="1:37" x14ac:dyDescent="0.35">
      <c r="A255" s="3">
        <v>10542051</v>
      </c>
      <c r="B255" s="3" t="str">
        <f t="shared" si="25"/>
        <v>08-267-</v>
      </c>
      <c r="D255" t="s">
        <v>218</v>
      </c>
      <c r="E255">
        <v>87</v>
      </c>
      <c r="G255" t="s">
        <v>64</v>
      </c>
      <c r="H255">
        <v>2970500.7047244199</v>
      </c>
      <c r="I255" t="str">
        <f>"2289123.96292651"</f>
        <v>2289123.96292651</v>
      </c>
      <c r="J255">
        <v>31.06542602</v>
      </c>
      <c r="K255" t="str">
        <f>"-102.27568611"</f>
        <v>-102.27568611</v>
      </c>
      <c r="L255" t="s">
        <v>65</v>
      </c>
      <c r="M255">
        <v>785946</v>
      </c>
      <c r="N255">
        <v>617544</v>
      </c>
      <c r="O255" t="s">
        <v>55</v>
      </c>
      <c r="P255" t="s">
        <v>66</v>
      </c>
      <c r="Q255">
        <v>5667</v>
      </c>
      <c r="R255" t="s">
        <v>44</v>
      </c>
      <c r="S255">
        <v>4937</v>
      </c>
      <c r="T255" t="s">
        <v>67</v>
      </c>
      <c r="U255">
        <v>35</v>
      </c>
      <c r="V255">
        <v>58</v>
      </c>
      <c r="W255">
        <v>1</v>
      </c>
      <c r="X255" t="s">
        <v>225</v>
      </c>
      <c r="Y255">
        <v>1396</v>
      </c>
      <c r="Z255" t="s">
        <v>68</v>
      </c>
      <c r="AA255" t="s">
        <v>45</v>
      </c>
      <c r="AB255" t="str">
        <f t="shared" si="30"/>
        <v>08</v>
      </c>
      <c r="AC255">
        <v>21736</v>
      </c>
      <c r="AD255">
        <v>617544</v>
      </c>
      <c r="AE255" t="s">
        <v>55</v>
      </c>
      <c r="AF255" t="s">
        <v>66</v>
      </c>
      <c r="AG255" t="s">
        <v>56</v>
      </c>
      <c r="AH255">
        <v>267</v>
      </c>
      <c r="AI255" s="7" t="str">
        <f t="shared" si="24"/>
        <v>10542051_08_267_</v>
      </c>
      <c r="AJ255" t="s">
        <v>86</v>
      </c>
      <c r="AK255" t="s">
        <v>73</v>
      </c>
    </row>
    <row r="256" spans="1:37" x14ac:dyDescent="0.35">
      <c r="A256" s="3">
        <v>10542052</v>
      </c>
      <c r="B256" s="3" t="str">
        <f t="shared" si="25"/>
        <v>08-268-268</v>
      </c>
      <c r="C256">
        <v>268</v>
      </c>
      <c r="D256" t="s">
        <v>63</v>
      </c>
      <c r="E256">
        <v>4</v>
      </c>
      <c r="F256">
        <v>55</v>
      </c>
      <c r="G256" t="s">
        <v>64</v>
      </c>
      <c r="H256">
        <v>31.054352739999999</v>
      </c>
      <c r="I256" t="str">
        <f>"-102.28885837"</f>
        <v>-102.28885837</v>
      </c>
      <c r="J256">
        <v>31.054502859999999</v>
      </c>
      <c r="K256" t="str">
        <f>"-102.28927394"</f>
        <v>-102.28927394</v>
      </c>
      <c r="L256" t="s">
        <v>65</v>
      </c>
      <c r="M256">
        <v>785947</v>
      </c>
      <c r="N256">
        <v>617544</v>
      </c>
      <c r="O256" t="s">
        <v>55</v>
      </c>
      <c r="P256" t="s">
        <v>66</v>
      </c>
      <c r="Q256">
        <v>5224</v>
      </c>
      <c r="R256" t="s">
        <v>44</v>
      </c>
      <c r="S256">
        <v>406</v>
      </c>
      <c r="T256" t="s">
        <v>170</v>
      </c>
      <c r="U256">
        <v>31</v>
      </c>
      <c r="V256">
        <v>21</v>
      </c>
      <c r="W256">
        <v>5788</v>
      </c>
      <c r="X256" t="s">
        <v>69</v>
      </c>
      <c r="Y256">
        <v>726</v>
      </c>
      <c r="Z256" t="s">
        <v>68</v>
      </c>
      <c r="AA256" t="s">
        <v>45</v>
      </c>
      <c r="AB256" t="str">
        <f t="shared" si="30"/>
        <v>08</v>
      </c>
      <c r="AC256">
        <v>21736</v>
      </c>
      <c r="AD256">
        <v>617544</v>
      </c>
      <c r="AE256" t="s">
        <v>55</v>
      </c>
      <c r="AF256" t="s">
        <v>66</v>
      </c>
      <c r="AG256" t="s">
        <v>56</v>
      </c>
      <c r="AH256">
        <v>268</v>
      </c>
      <c r="AI256" s="7" t="str">
        <f t="shared" si="24"/>
        <v>10542052_08_268_268</v>
      </c>
      <c r="AJ256" t="s">
        <v>72</v>
      </c>
      <c r="AK256" t="s">
        <v>73</v>
      </c>
    </row>
    <row r="257" spans="1:37" x14ac:dyDescent="0.35">
      <c r="A257" s="3">
        <v>10542476</v>
      </c>
      <c r="B257" s="3" t="str">
        <f t="shared" si="25"/>
        <v>08-284-284</v>
      </c>
      <c r="C257">
        <v>284</v>
      </c>
      <c r="D257" t="s">
        <v>142</v>
      </c>
      <c r="E257">
        <v>11</v>
      </c>
      <c r="F257">
        <v>55</v>
      </c>
      <c r="G257" t="s">
        <v>64</v>
      </c>
      <c r="H257">
        <v>2967906.91437008</v>
      </c>
      <c r="I257" t="str">
        <f>"2292431.41929133"</f>
        <v>2292431.41929133</v>
      </c>
      <c r="J257">
        <v>31.058468529999999</v>
      </c>
      <c r="K257" t="str">
        <f>"-102.2649329"</f>
        <v>-102.2649329</v>
      </c>
      <c r="L257" t="s">
        <v>65</v>
      </c>
      <c r="M257">
        <v>852702</v>
      </c>
      <c r="N257">
        <v>617544</v>
      </c>
      <c r="O257" t="s">
        <v>55</v>
      </c>
      <c r="P257" t="s">
        <v>66</v>
      </c>
      <c r="Q257">
        <v>5461</v>
      </c>
      <c r="R257" t="s">
        <v>44</v>
      </c>
      <c r="S257">
        <v>407</v>
      </c>
      <c r="T257" t="s">
        <v>170</v>
      </c>
      <c r="U257">
        <v>31</v>
      </c>
      <c r="V257">
        <v>23</v>
      </c>
      <c r="W257">
        <v>888</v>
      </c>
      <c r="X257" t="s">
        <v>69</v>
      </c>
      <c r="Y257">
        <v>304</v>
      </c>
      <c r="Z257" t="s">
        <v>68</v>
      </c>
      <c r="AA257" t="s">
        <v>45</v>
      </c>
      <c r="AB257" t="str">
        <f t="shared" si="30"/>
        <v>08</v>
      </c>
      <c r="AC257">
        <v>21736</v>
      </c>
      <c r="AD257">
        <v>617544</v>
      </c>
      <c r="AE257" t="s">
        <v>55</v>
      </c>
      <c r="AF257" t="s">
        <v>66</v>
      </c>
      <c r="AG257" t="s">
        <v>56</v>
      </c>
      <c r="AH257">
        <v>284</v>
      </c>
      <c r="AI257" s="7" t="str">
        <f t="shared" si="24"/>
        <v>10542476_08_284_284</v>
      </c>
      <c r="AJ257" t="s">
        <v>86</v>
      </c>
      <c r="AK257" t="s">
        <v>73</v>
      </c>
    </row>
    <row r="258" spans="1:37" x14ac:dyDescent="0.35">
      <c r="A258" s="3">
        <v>10542477</v>
      </c>
      <c r="B258" s="3" t="str">
        <f t="shared" si="25"/>
        <v>08-285-285</v>
      </c>
      <c r="C258">
        <v>285</v>
      </c>
      <c r="D258" t="s">
        <v>63</v>
      </c>
      <c r="E258">
        <v>4</v>
      </c>
      <c r="F258">
        <v>55</v>
      </c>
      <c r="G258" t="s">
        <v>64</v>
      </c>
      <c r="H258">
        <v>2969847.8277559001</v>
      </c>
      <c r="I258" t="str">
        <f>"2289452.50787401"</f>
        <v>2289452.50787401</v>
      </c>
      <c r="J258">
        <v>31.063646309999999</v>
      </c>
      <c r="K258" t="str">
        <f>"-102.27459187"</f>
        <v>-102.27459187</v>
      </c>
      <c r="L258" t="s">
        <v>65</v>
      </c>
      <c r="M258">
        <v>852703</v>
      </c>
      <c r="N258">
        <v>617544</v>
      </c>
      <c r="O258" t="s">
        <v>55</v>
      </c>
      <c r="P258" t="s">
        <v>66</v>
      </c>
      <c r="Q258">
        <v>5488</v>
      </c>
      <c r="R258" t="s">
        <v>44</v>
      </c>
      <c r="S258">
        <v>406</v>
      </c>
      <c r="T258" t="s">
        <v>170</v>
      </c>
      <c r="U258">
        <v>31</v>
      </c>
      <c r="V258">
        <v>21</v>
      </c>
      <c r="W258">
        <v>261</v>
      </c>
      <c r="X258" t="s">
        <v>69</v>
      </c>
      <c r="Y258">
        <v>665</v>
      </c>
      <c r="Z258" t="s">
        <v>171</v>
      </c>
      <c r="AA258" t="s">
        <v>45</v>
      </c>
      <c r="AB258" t="str">
        <f t="shared" si="30"/>
        <v>08</v>
      </c>
      <c r="AC258">
        <v>21736</v>
      </c>
      <c r="AD258">
        <v>617544</v>
      </c>
      <c r="AE258" t="s">
        <v>55</v>
      </c>
      <c r="AF258" t="s">
        <v>66</v>
      </c>
      <c r="AG258" t="s">
        <v>56</v>
      </c>
      <c r="AH258">
        <v>285</v>
      </c>
      <c r="AI258" s="7" t="str">
        <f t="shared" ref="AI258:AI321" si="31">A258&amp;"_"&amp;AB258&amp;"_"&amp;AH258&amp;"_"&amp;C258</f>
        <v>10542477_08_285_285</v>
      </c>
      <c r="AJ258" t="s">
        <v>72</v>
      </c>
      <c r="AK258" t="s">
        <v>73</v>
      </c>
    </row>
    <row r="259" spans="1:37" x14ac:dyDescent="0.35">
      <c r="A259" s="3">
        <v>10542483</v>
      </c>
      <c r="B259" s="3" t="str">
        <f t="shared" ref="B259:B322" si="32">AB259&amp;"-"&amp;AH259&amp;"-"&amp;C259</f>
        <v>08-282-282</v>
      </c>
      <c r="C259">
        <v>282</v>
      </c>
      <c r="D259" t="s">
        <v>63</v>
      </c>
      <c r="E259">
        <v>4</v>
      </c>
      <c r="F259">
        <v>55</v>
      </c>
      <c r="G259" t="s">
        <v>64</v>
      </c>
      <c r="H259">
        <v>2960717.4514435702</v>
      </c>
      <c r="I259" t="str">
        <f>"2291078.10761155"</f>
        <v>2291078.10761155</v>
      </c>
      <c r="J259">
        <v>31.03858907</v>
      </c>
      <c r="K259" t="str">
        <f>"-102.26879112"</f>
        <v>-102.26879112</v>
      </c>
      <c r="L259" t="s">
        <v>65</v>
      </c>
      <c r="M259">
        <v>857739</v>
      </c>
      <c r="N259">
        <v>617544</v>
      </c>
      <c r="O259" t="s">
        <v>55</v>
      </c>
      <c r="P259" t="s">
        <v>66</v>
      </c>
      <c r="Q259">
        <v>5502</v>
      </c>
      <c r="R259" t="s">
        <v>44</v>
      </c>
      <c r="S259">
        <v>4940</v>
      </c>
      <c r="T259" t="s">
        <v>67</v>
      </c>
      <c r="U259">
        <v>31</v>
      </c>
      <c r="V259">
        <v>24</v>
      </c>
      <c r="W259">
        <v>8831</v>
      </c>
      <c r="X259" t="s">
        <v>69</v>
      </c>
      <c r="Y259">
        <v>1406</v>
      </c>
      <c r="Z259" t="s">
        <v>68</v>
      </c>
      <c r="AA259" t="s">
        <v>45</v>
      </c>
      <c r="AB259" t="str">
        <f t="shared" si="30"/>
        <v>08</v>
      </c>
      <c r="AC259">
        <v>21736</v>
      </c>
      <c r="AD259">
        <v>617544</v>
      </c>
      <c r="AE259" t="s">
        <v>55</v>
      </c>
      <c r="AF259" t="s">
        <v>66</v>
      </c>
      <c r="AG259" t="s">
        <v>56</v>
      </c>
      <c r="AH259">
        <v>282</v>
      </c>
      <c r="AI259" s="7" t="str">
        <f t="shared" si="31"/>
        <v>10542483_08_282_282</v>
      </c>
      <c r="AJ259" t="s">
        <v>72</v>
      </c>
      <c r="AK259" t="s">
        <v>73</v>
      </c>
    </row>
    <row r="260" spans="1:37" x14ac:dyDescent="0.35">
      <c r="A260" s="3">
        <v>10542484</v>
      </c>
      <c r="B260" s="3" t="str">
        <f t="shared" si="32"/>
        <v>08-283-283</v>
      </c>
      <c r="C260">
        <v>283</v>
      </c>
      <c r="D260" t="s">
        <v>63</v>
      </c>
      <c r="E260">
        <v>4</v>
      </c>
      <c r="F260">
        <v>55</v>
      </c>
      <c r="G260" t="s">
        <v>64</v>
      </c>
      <c r="H260">
        <v>2961354.7536089299</v>
      </c>
      <c r="I260" t="str">
        <f>"2292316.69750656"</f>
        <v>2292316.69750656</v>
      </c>
      <c r="J260">
        <v>31.04041441</v>
      </c>
      <c r="K260" t="str">
        <f>"-102.26487071"</f>
        <v>-102.26487071</v>
      </c>
      <c r="L260" t="s">
        <v>65</v>
      </c>
      <c r="M260">
        <v>857742</v>
      </c>
      <c r="N260">
        <v>617544</v>
      </c>
      <c r="O260" t="s">
        <v>55</v>
      </c>
      <c r="P260" t="s">
        <v>66</v>
      </c>
      <c r="Q260">
        <v>5618</v>
      </c>
      <c r="R260" t="s">
        <v>44</v>
      </c>
      <c r="S260">
        <v>4940</v>
      </c>
      <c r="T260" t="s">
        <v>67</v>
      </c>
      <c r="U260">
        <v>31</v>
      </c>
      <c r="V260">
        <v>24</v>
      </c>
      <c r="W260">
        <v>7527</v>
      </c>
      <c r="X260" t="s">
        <v>69</v>
      </c>
      <c r="Y260">
        <v>857</v>
      </c>
      <c r="Z260" t="s">
        <v>171</v>
      </c>
      <c r="AA260" t="s">
        <v>45</v>
      </c>
      <c r="AB260" t="str">
        <f t="shared" si="30"/>
        <v>08</v>
      </c>
      <c r="AC260">
        <v>21736</v>
      </c>
      <c r="AD260">
        <v>617544</v>
      </c>
      <c r="AE260" t="s">
        <v>55</v>
      </c>
      <c r="AF260" t="s">
        <v>66</v>
      </c>
      <c r="AG260" t="s">
        <v>56</v>
      </c>
      <c r="AH260">
        <v>283</v>
      </c>
      <c r="AI260" s="7" t="str">
        <f t="shared" si="31"/>
        <v>10542484_08_283_283</v>
      </c>
      <c r="AJ260" t="s">
        <v>72</v>
      </c>
      <c r="AK260" t="s">
        <v>73</v>
      </c>
    </row>
    <row r="261" spans="1:37" x14ac:dyDescent="0.35">
      <c r="A261" s="3">
        <v>371</v>
      </c>
      <c r="B261" s="3" t="str">
        <f t="shared" si="32"/>
        <v>--1</v>
      </c>
      <c r="C261">
        <v>1</v>
      </c>
      <c r="D261" t="s">
        <v>39</v>
      </c>
      <c r="E261">
        <v>3</v>
      </c>
      <c r="F261">
        <v>15</v>
      </c>
      <c r="G261" t="s">
        <v>40</v>
      </c>
      <c r="H261">
        <v>31.0359087</v>
      </c>
      <c r="I261" t="str">
        <f>"-102.2975448"</f>
        <v>-102.2975448</v>
      </c>
      <c r="J261">
        <v>31.036059359999999</v>
      </c>
      <c r="K261" t="str">
        <f>"-102.29796033"</f>
        <v>-102.29796033</v>
      </c>
      <c r="AI261" s="7" t="str">
        <f t="shared" si="31"/>
        <v>371___1</v>
      </c>
    </row>
    <row r="262" spans="1:37" x14ac:dyDescent="0.35">
      <c r="A262" s="3">
        <v>371</v>
      </c>
      <c r="B262" s="3" t="str">
        <f t="shared" si="32"/>
        <v>--1A</v>
      </c>
      <c r="C262" t="s">
        <v>226</v>
      </c>
      <c r="D262" t="s">
        <v>39</v>
      </c>
      <c r="E262">
        <v>3</v>
      </c>
      <c r="F262">
        <v>15</v>
      </c>
      <c r="G262" t="s">
        <v>40</v>
      </c>
      <c r="H262">
        <v>31.0256832</v>
      </c>
      <c r="I262" t="str">
        <f>"-102.2697114"</f>
        <v>-102.2697114</v>
      </c>
      <c r="J262">
        <v>31.025834360000001</v>
      </c>
      <c r="K262" t="str">
        <f>"-102.27012596"</f>
        <v>-102.27012596</v>
      </c>
      <c r="AI262" s="7" t="str">
        <f t="shared" si="31"/>
        <v>371___1A</v>
      </c>
    </row>
    <row r="263" spans="1:37" x14ac:dyDescent="0.35">
      <c r="A263" s="3">
        <v>371</v>
      </c>
      <c r="B263" s="3" t="str">
        <f t="shared" si="32"/>
        <v>--1</v>
      </c>
      <c r="C263">
        <v>1</v>
      </c>
      <c r="D263" t="s">
        <v>39</v>
      </c>
      <c r="E263">
        <v>3</v>
      </c>
      <c r="F263">
        <v>15</v>
      </c>
      <c r="G263" t="s">
        <v>40</v>
      </c>
      <c r="H263">
        <v>31.008334600000001</v>
      </c>
      <c r="I263" t="str">
        <f>"-102.2486187"</f>
        <v>-102.2486187</v>
      </c>
      <c r="J263">
        <v>31.008486439999999</v>
      </c>
      <c r="K263" t="str">
        <f>"-102.24903237"</f>
        <v>-102.24903237</v>
      </c>
      <c r="AI263" s="7" t="str">
        <f t="shared" si="31"/>
        <v>371___1</v>
      </c>
    </row>
    <row r="264" spans="1:37" x14ac:dyDescent="0.35">
      <c r="A264" s="3">
        <v>371</v>
      </c>
      <c r="B264" s="3" t="str">
        <f t="shared" si="32"/>
        <v>--2B</v>
      </c>
      <c r="C264" t="s">
        <v>227</v>
      </c>
      <c r="D264" t="s">
        <v>39</v>
      </c>
      <c r="E264">
        <v>3</v>
      </c>
      <c r="F264">
        <v>15</v>
      </c>
      <c r="G264" t="s">
        <v>40</v>
      </c>
      <c r="H264">
        <v>31.028927800000002</v>
      </c>
      <c r="I264" t="str">
        <f>"-102.2453107"</f>
        <v>-102.2453107</v>
      </c>
      <c r="J264">
        <v>31.029079029999998</v>
      </c>
      <c r="K264" t="str">
        <f>"-102.24572464"</f>
        <v>-102.24572464</v>
      </c>
      <c r="AI264" s="7" t="str">
        <f t="shared" si="31"/>
        <v>371___2B</v>
      </c>
    </row>
    <row r="265" spans="1:37" x14ac:dyDescent="0.35">
      <c r="A265" s="3">
        <v>371</v>
      </c>
      <c r="B265" s="3" t="str">
        <f t="shared" si="32"/>
        <v>--1</v>
      </c>
      <c r="C265">
        <v>1</v>
      </c>
      <c r="D265" t="s">
        <v>39</v>
      </c>
      <c r="E265">
        <v>3</v>
      </c>
      <c r="F265">
        <v>15</v>
      </c>
      <c r="G265" t="s">
        <v>40</v>
      </c>
      <c r="H265">
        <v>31.023620699999999</v>
      </c>
      <c r="I265" t="str">
        <f>"-102.2952594"</f>
        <v>-102.2952594</v>
      </c>
      <c r="J265">
        <v>31.023771750000002</v>
      </c>
      <c r="K265" t="str">
        <f>"-102.29567469"</f>
        <v>-102.29567469</v>
      </c>
      <c r="AI265" s="7" t="str">
        <f t="shared" si="31"/>
        <v>371___1</v>
      </c>
    </row>
    <row r="266" spans="1:37" x14ac:dyDescent="0.35">
      <c r="A266" s="3">
        <v>371</v>
      </c>
      <c r="B266" s="3" t="str">
        <f t="shared" si="32"/>
        <v>--1</v>
      </c>
      <c r="C266">
        <v>1</v>
      </c>
      <c r="D266" t="s">
        <v>41</v>
      </c>
      <c r="E266">
        <v>7</v>
      </c>
      <c r="F266">
        <v>15</v>
      </c>
      <c r="G266" t="s">
        <v>40</v>
      </c>
      <c r="H266">
        <v>31.030258400000001</v>
      </c>
      <c r="I266" t="str">
        <f>"-102.2399281"</f>
        <v>-102.2399281</v>
      </c>
      <c r="J266">
        <v>31.030409639999998</v>
      </c>
      <c r="K266" t="str">
        <f>"-102.24034197"</f>
        <v>-102.24034197</v>
      </c>
      <c r="AI266" s="7" t="str">
        <f t="shared" si="31"/>
        <v>371___1</v>
      </c>
    </row>
    <row r="267" spans="1:37" x14ac:dyDescent="0.35">
      <c r="A267" s="3">
        <v>371</v>
      </c>
      <c r="B267" s="3" t="str">
        <f t="shared" si="32"/>
        <v>--1</v>
      </c>
      <c r="C267">
        <v>1</v>
      </c>
      <c r="D267" t="s">
        <v>39</v>
      </c>
      <c r="E267">
        <v>3</v>
      </c>
      <c r="F267">
        <v>15</v>
      </c>
      <c r="G267" t="s">
        <v>40</v>
      </c>
      <c r="H267">
        <v>31.0128238</v>
      </c>
      <c r="I267" t="str">
        <f>"-102.2555801"</f>
        <v>-102.2555801</v>
      </c>
      <c r="J267">
        <v>31.012975449999999</v>
      </c>
      <c r="K267" t="str">
        <f>"-102.25599404"</f>
        <v>-102.25599404</v>
      </c>
      <c r="AI267" s="7" t="str">
        <f t="shared" si="31"/>
        <v>371___1</v>
      </c>
    </row>
    <row r="268" spans="1:37" x14ac:dyDescent="0.35">
      <c r="A268" s="3">
        <v>371</v>
      </c>
      <c r="B268" s="3" t="str">
        <f t="shared" si="32"/>
        <v>--1</v>
      </c>
      <c r="C268">
        <v>1</v>
      </c>
      <c r="D268" t="s">
        <v>39</v>
      </c>
      <c r="E268">
        <v>3</v>
      </c>
      <c r="F268">
        <v>15</v>
      </c>
      <c r="G268" t="s">
        <v>40</v>
      </c>
      <c r="H268">
        <v>31.010164799999998</v>
      </c>
      <c r="I268" t="str">
        <f>"-102.2531651"</f>
        <v>-102.2531651</v>
      </c>
      <c r="J268">
        <v>31.010316549999999</v>
      </c>
      <c r="K268" t="str">
        <f>"-102.25357892"</f>
        <v>-102.25357892</v>
      </c>
      <c r="AI268" s="7" t="str">
        <f t="shared" si="31"/>
        <v>371___1</v>
      </c>
    </row>
    <row r="269" spans="1:37" x14ac:dyDescent="0.35">
      <c r="A269" s="3">
        <v>371</v>
      </c>
      <c r="B269" s="3" t="str">
        <f t="shared" si="32"/>
        <v>--1</v>
      </c>
      <c r="C269">
        <v>1</v>
      </c>
      <c r="D269" t="s">
        <v>39</v>
      </c>
      <c r="E269">
        <v>3</v>
      </c>
      <c r="F269">
        <v>15</v>
      </c>
      <c r="G269" t="s">
        <v>40</v>
      </c>
      <c r="H269">
        <v>31.0367894</v>
      </c>
      <c r="I269" t="str">
        <f>"-102.2952542"</f>
        <v>-102.2952542</v>
      </c>
      <c r="J269">
        <v>31.036940049999998</v>
      </c>
      <c r="K269" t="str">
        <f>"-102.29566968"</f>
        <v>-102.29566968</v>
      </c>
      <c r="AI269" s="7" t="str">
        <f t="shared" si="31"/>
        <v>371___1</v>
      </c>
    </row>
    <row r="270" spans="1:37" x14ac:dyDescent="0.35">
      <c r="A270" s="3">
        <v>371</v>
      </c>
      <c r="B270" s="3" t="str">
        <f t="shared" si="32"/>
        <v>--2D</v>
      </c>
      <c r="C270" t="s">
        <v>228</v>
      </c>
      <c r="D270" t="s">
        <v>39</v>
      </c>
      <c r="E270">
        <v>3</v>
      </c>
      <c r="F270">
        <v>15</v>
      </c>
      <c r="G270" t="s">
        <v>40</v>
      </c>
      <c r="H270">
        <v>31.013183300000001</v>
      </c>
      <c r="I270" t="str">
        <f>"-102.2510984"</f>
        <v>-102.2510984</v>
      </c>
      <c r="J270">
        <v>31.013334969999999</v>
      </c>
      <c r="K270" t="str">
        <f>"-102.25151221"</f>
        <v>-102.25151221</v>
      </c>
      <c r="AI270" s="7" t="str">
        <f t="shared" si="31"/>
        <v>371___2D</v>
      </c>
    </row>
    <row r="271" spans="1:37" x14ac:dyDescent="0.35">
      <c r="A271" s="3">
        <v>371</v>
      </c>
      <c r="B271" s="3" t="str">
        <f t="shared" si="32"/>
        <v>--1</v>
      </c>
      <c r="C271">
        <v>1</v>
      </c>
      <c r="D271" t="s">
        <v>39</v>
      </c>
      <c r="E271">
        <v>3</v>
      </c>
      <c r="F271">
        <v>15</v>
      </c>
      <c r="G271" t="s">
        <v>40</v>
      </c>
      <c r="H271">
        <v>31.0170168</v>
      </c>
      <c r="I271" t="str">
        <f>"-102.2855588"</f>
        <v>-102.2855588</v>
      </c>
      <c r="J271">
        <v>31.017168120000001</v>
      </c>
      <c r="K271" t="str">
        <f>"-102.28597371"</f>
        <v>-102.28597371</v>
      </c>
      <c r="AI271" s="7" t="str">
        <f t="shared" si="31"/>
        <v>371___1</v>
      </c>
    </row>
    <row r="272" spans="1:37" x14ac:dyDescent="0.35">
      <c r="A272" s="3">
        <v>371</v>
      </c>
      <c r="B272" s="3" t="str">
        <f t="shared" si="32"/>
        <v>--1</v>
      </c>
      <c r="C272">
        <v>1</v>
      </c>
      <c r="D272" t="s">
        <v>39</v>
      </c>
      <c r="E272">
        <v>3</v>
      </c>
      <c r="F272">
        <v>15</v>
      </c>
      <c r="G272" t="s">
        <v>40</v>
      </c>
      <c r="H272">
        <v>31.0091757</v>
      </c>
      <c r="I272" t="str">
        <f>"-102.2839356"</f>
        <v>-102.2839356</v>
      </c>
      <c r="J272">
        <v>31.00932727</v>
      </c>
      <c r="K272" t="str">
        <f>"-102.28435034"</f>
        <v>-102.28435034</v>
      </c>
      <c r="AI272" s="7" t="str">
        <f t="shared" si="31"/>
        <v>371___1</v>
      </c>
    </row>
    <row r="273" spans="1:39" x14ac:dyDescent="0.35">
      <c r="A273" s="3">
        <v>371</v>
      </c>
      <c r="B273" s="3" t="str">
        <f t="shared" si="32"/>
        <v>--2</v>
      </c>
      <c r="C273">
        <v>2</v>
      </c>
      <c r="D273" t="s">
        <v>39</v>
      </c>
      <c r="E273">
        <v>3</v>
      </c>
      <c r="F273">
        <v>15</v>
      </c>
      <c r="G273" t="s">
        <v>40</v>
      </c>
      <c r="H273">
        <v>31.015386199999998</v>
      </c>
      <c r="I273" t="str">
        <f>"-102.2403635"</f>
        <v>-102.2403635</v>
      </c>
      <c r="J273">
        <v>31.015537900000002</v>
      </c>
      <c r="K273" t="str">
        <f>"-102.24077714"</f>
        <v>-102.24077714</v>
      </c>
      <c r="AI273" s="7" t="str">
        <f t="shared" si="31"/>
        <v>371___2</v>
      </c>
    </row>
    <row r="274" spans="1:39" x14ac:dyDescent="0.35">
      <c r="A274" s="3">
        <v>371</v>
      </c>
      <c r="B274" s="3" t="str">
        <f t="shared" si="32"/>
        <v>--1</v>
      </c>
      <c r="C274">
        <v>1</v>
      </c>
      <c r="D274" t="s">
        <v>39</v>
      </c>
      <c r="E274">
        <v>3</v>
      </c>
      <c r="F274">
        <v>15</v>
      </c>
      <c r="G274" t="s">
        <v>40</v>
      </c>
      <c r="H274">
        <v>31.027748899999999</v>
      </c>
      <c r="I274" t="str">
        <f>"-102.2857247"</f>
        <v>-102.2857247</v>
      </c>
      <c r="J274">
        <v>31.02789989</v>
      </c>
      <c r="K274" t="str">
        <f>"-102.28613977"</f>
        <v>-102.28613977</v>
      </c>
      <c r="AI274" s="7" t="str">
        <f t="shared" si="31"/>
        <v>371___1</v>
      </c>
    </row>
    <row r="275" spans="1:39" x14ac:dyDescent="0.35">
      <c r="A275" s="3">
        <v>37100537</v>
      </c>
      <c r="B275" s="3" t="str">
        <f t="shared" si="32"/>
        <v>7C-1-1</v>
      </c>
      <c r="C275">
        <v>1</v>
      </c>
      <c r="D275" t="s">
        <v>41</v>
      </c>
      <c r="E275">
        <v>7</v>
      </c>
      <c r="F275">
        <v>15</v>
      </c>
      <c r="G275" t="s">
        <v>40</v>
      </c>
      <c r="H275">
        <v>31.037057399999998</v>
      </c>
      <c r="I275" t="str">
        <f>"-102.2468863"</f>
        <v>-102.2468863</v>
      </c>
      <c r="J275">
        <v>31.037208360000001</v>
      </c>
      <c r="K275" t="str">
        <f>"-102.2473004"</f>
        <v>-102.2473004</v>
      </c>
      <c r="L275" t="s">
        <v>62</v>
      </c>
      <c r="Q275">
        <v>0</v>
      </c>
      <c r="R275" t="s">
        <v>44</v>
      </c>
      <c r="AA275" t="s">
        <v>45</v>
      </c>
      <c r="AB275" t="s">
        <v>46</v>
      </c>
      <c r="AC275" t="str">
        <f>"03737"</f>
        <v>03737</v>
      </c>
      <c r="AD275">
        <v>246720</v>
      </c>
      <c r="AE275" t="s">
        <v>47</v>
      </c>
      <c r="AG275" t="s">
        <v>53</v>
      </c>
      <c r="AH275">
        <v>1</v>
      </c>
      <c r="AI275" s="7" t="str">
        <f t="shared" si="31"/>
        <v>37100537_7C_1_1</v>
      </c>
      <c r="AJ275" t="s">
        <v>51</v>
      </c>
      <c r="AK275" t="s">
        <v>52</v>
      </c>
    </row>
    <row r="276" spans="1:39" x14ac:dyDescent="0.35">
      <c r="A276" s="3">
        <v>37100538</v>
      </c>
      <c r="B276" s="3" t="str">
        <f t="shared" si="32"/>
        <v>08-1-1</v>
      </c>
      <c r="C276">
        <v>1</v>
      </c>
      <c r="D276" t="s">
        <v>151</v>
      </c>
      <c r="E276">
        <v>10</v>
      </c>
      <c r="F276">
        <v>15</v>
      </c>
      <c r="G276" t="s">
        <v>40</v>
      </c>
      <c r="H276">
        <v>31.035522499999999</v>
      </c>
      <c r="I276" t="str">
        <f>"-102.2557506"</f>
        <v>-102.2557506</v>
      </c>
      <c r="J276">
        <v>31.03567344</v>
      </c>
      <c r="K276" t="str">
        <f>"-102.2561649"</f>
        <v>-102.2561649</v>
      </c>
      <c r="L276" t="s">
        <v>43</v>
      </c>
      <c r="Q276">
        <v>5655</v>
      </c>
      <c r="R276" t="s">
        <v>44</v>
      </c>
      <c r="AA276" t="s">
        <v>152</v>
      </c>
      <c r="AB276" t="str">
        <f>"08"</f>
        <v>08</v>
      </c>
      <c r="AC276" t="str">
        <f>"054430"</f>
        <v>054430</v>
      </c>
      <c r="AD276">
        <v>521465</v>
      </c>
      <c r="AE276" t="s">
        <v>229</v>
      </c>
      <c r="AF276" t="s">
        <v>230</v>
      </c>
      <c r="AG276" t="s">
        <v>56</v>
      </c>
      <c r="AH276">
        <v>1</v>
      </c>
      <c r="AI276" s="7" t="str">
        <f t="shared" si="31"/>
        <v>37100538_08_1_1</v>
      </c>
      <c r="AJ276" t="s">
        <v>51</v>
      </c>
      <c r="AK276" t="s">
        <v>52</v>
      </c>
      <c r="AL276" s="1">
        <v>31125</v>
      </c>
      <c r="AM276">
        <v>5192</v>
      </c>
    </row>
    <row r="277" spans="1:39" x14ac:dyDescent="0.35">
      <c r="A277" s="3">
        <v>37100538</v>
      </c>
      <c r="B277" s="3" t="str">
        <f t="shared" si="32"/>
        <v>7C-1-1</v>
      </c>
      <c r="C277">
        <v>1</v>
      </c>
      <c r="D277" t="s">
        <v>151</v>
      </c>
      <c r="E277">
        <v>10</v>
      </c>
      <c r="F277">
        <v>15</v>
      </c>
      <c r="G277" t="s">
        <v>40</v>
      </c>
      <c r="H277">
        <v>31.035522499999999</v>
      </c>
      <c r="I277" t="str">
        <f>"-102.2557506"</f>
        <v>-102.2557506</v>
      </c>
      <c r="J277">
        <v>31.03567344</v>
      </c>
      <c r="K277" t="str">
        <f>"-102.2561649"</f>
        <v>-102.2561649</v>
      </c>
      <c r="L277" t="s">
        <v>43</v>
      </c>
      <c r="Q277">
        <v>5655</v>
      </c>
      <c r="R277" t="s">
        <v>44</v>
      </c>
      <c r="AA277" t="s">
        <v>45</v>
      </c>
      <c r="AB277" t="s">
        <v>46</v>
      </c>
      <c r="AC277" t="str">
        <f>"03738"</f>
        <v>03738</v>
      </c>
      <c r="AD277">
        <v>246720</v>
      </c>
      <c r="AE277" t="s">
        <v>47</v>
      </c>
      <c r="AG277" t="s">
        <v>53</v>
      </c>
      <c r="AH277">
        <v>1</v>
      </c>
      <c r="AI277" s="7" t="str">
        <f t="shared" si="31"/>
        <v>37100538_7C_1_1</v>
      </c>
      <c r="AJ277" t="s">
        <v>51</v>
      </c>
      <c r="AK277" t="s">
        <v>52</v>
      </c>
      <c r="AL277" s="1">
        <v>31125</v>
      </c>
      <c r="AM277">
        <v>5192</v>
      </c>
    </row>
    <row r="278" spans="1:39" x14ac:dyDescent="0.35">
      <c r="A278" s="3">
        <v>37101754</v>
      </c>
      <c r="B278" s="3" t="str">
        <f t="shared" si="32"/>
        <v>08-1-1</v>
      </c>
      <c r="C278">
        <v>1</v>
      </c>
      <c r="D278" t="s">
        <v>63</v>
      </c>
      <c r="E278">
        <v>4</v>
      </c>
      <c r="F278">
        <v>15</v>
      </c>
      <c r="G278" t="s">
        <v>40</v>
      </c>
      <c r="H278">
        <v>31.038561399999999</v>
      </c>
      <c r="I278" t="str">
        <f>"-102.2571602"</f>
        <v>-102.2571602</v>
      </c>
      <c r="J278">
        <v>31.038712239999999</v>
      </c>
      <c r="K278" t="str">
        <f>"-102.25757459"</f>
        <v>-102.25757459</v>
      </c>
      <c r="L278" t="s">
        <v>43</v>
      </c>
      <c r="Q278">
        <v>5595</v>
      </c>
      <c r="R278" t="s">
        <v>44</v>
      </c>
      <c r="AA278" t="s">
        <v>45</v>
      </c>
      <c r="AB278" t="str">
        <f>"08"</f>
        <v>08</v>
      </c>
      <c r="AC278">
        <v>21742</v>
      </c>
      <c r="AD278">
        <v>829445</v>
      </c>
      <c r="AE278" t="s">
        <v>231</v>
      </c>
      <c r="AF278" t="s">
        <v>232</v>
      </c>
      <c r="AG278" t="s">
        <v>56</v>
      </c>
      <c r="AH278">
        <v>1</v>
      </c>
      <c r="AI278" s="7" t="str">
        <f t="shared" si="31"/>
        <v>37101754_08_1_1</v>
      </c>
      <c r="AJ278" t="s">
        <v>51</v>
      </c>
      <c r="AK278" t="s">
        <v>52</v>
      </c>
      <c r="AL278" s="1">
        <v>31456</v>
      </c>
      <c r="AM278">
        <v>5595</v>
      </c>
    </row>
    <row r="279" spans="1:39" x14ac:dyDescent="0.35">
      <c r="A279" s="3">
        <v>37104300</v>
      </c>
      <c r="B279" s="3" t="str">
        <f t="shared" si="32"/>
        <v>08-1-1</v>
      </c>
      <c r="C279">
        <v>1</v>
      </c>
      <c r="D279" t="s">
        <v>41</v>
      </c>
      <c r="E279">
        <v>7</v>
      </c>
      <c r="F279">
        <v>15</v>
      </c>
      <c r="G279" t="s">
        <v>40</v>
      </c>
      <c r="H279">
        <v>31.034277700000001</v>
      </c>
      <c r="I279" t="str">
        <f>"-102.2866714"</f>
        <v>-102.2866714</v>
      </c>
      <c r="J279">
        <v>31.034428479999999</v>
      </c>
      <c r="K279" t="str">
        <f>"-102.28708659"</f>
        <v>-102.28708659</v>
      </c>
      <c r="L279" t="s">
        <v>43</v>
      </c>
      <c r="Q279">
        <v>5100</v>
      </c>
      <c r="R279" t="s">
        <v>44</v>
      </c>
      <c r="AA279" t="s">
        <v>45</v>
      </c>
      <c r="AB279" t="str">
        <f>"08"</f>
        <v>08</v>
      </c>
      <c r="AC279">
        <v>24557</v>
      </c>
      <c r="AD279">
        <v>621750</v>
      </c>
      <c r="AE279" t="s">
        <v>233</v>
      </c>
      <c r="AF279" t="s">
        <v>234</v>
      </c>
      <c r="AG279" t="s">
        <v>145</v>
      </c>
      <c r="AH279">
        <v>1</v>
      </c>
      <c r="AI279" s="7" t="str">
        <f t="shared" si="31"/>
        <v>37104300_08_1_1</v>
      </c>
      <c r="AJ279" t="s">
        <v>51</v>
      </c>
      <c r="AK279" t="s">
        <v>52</v>
      </c>
      <c r="AL279" s="1">
        <v>31323</v>
      </c>
      <c r="AM279">
        <v>5100</v>
      </c>
    </row>
    <row r="280" spans="1:39" x14ac:dyDescent="0.35">
      <c r="A280" s="3">
        <v>37104301</v>
      </c>
      <c r="B280" s="3" t="str">
        <f t="shared" si="32"/>
        <v>7C-1-1</v>
      </c>
      <c r="C280">
        <v>1</v>
      </c>
      <c r="D280" t="s">
        <v>151</v>
      </c>
      <c r="E280">
        <v>10</v>
      </c>
      <c r="F280">
        <v>15</v>
      </c>
      <c r="G280" t="s">
        <v>40</v>
      </c>
      <c r="H280">
        <v>31.030902399999999</v>
      </c>
      <c r="I280" t="str">
        <f>"-102.2763683"</f>
        <v>-102.2763683</v>
      </c>
      <c r="J280">
        <v>31.031053350000001</v>
      </c>
      <c r="K280" t="str">
        <f>"-102.27678314"</f>
        <v>-102.27678314</v>
      </c>
      <c r="L280" t="s">
        <v>43</v>
      </c>
      <c r="Q280">
        <v>5115</v>
      </c>
      <c r="R280" t="s">
        <v>44</v>
      </c>
      <c r="AA280" t="s">
        <v>152</v>
      </c>
      <c r="AB280" t="s">
        <v>46</v>
      </c>
      <c r="AC280" t="str">
        <f>"021204"</f>
        <v>021204</v>
      </c>
      <c r="AH280">
        <v>1</v>
      </c>
      <c r="AI280" s="7" t="str">
        <f t="shared" si="31"/>
        <v>37104301_7C_1_1</v>
      </c>
      <c r="AJ280" t="s">
        <v>51</v>
      </c>
      <c r="AK280" t="s">
        <v>52</v>
      </c>
      <c r="AL280" s="1">
        <v>28868</v>
      </c>
      <c r="AM280">
        <v>5115</v>
      </c>
    </row>
    <row r="281" spans="1:39" x14ac:dyDescent="0.35">
      <c r="A281" s="3">
        <v>37104301</v>
      </c>
      <c r="B281" s="3" t="str">
        <f t="shared" si="32"/>
        <v>08-1-1</v>
      </c>
      <c r="C281">
        <v>1</v>
      </c>
      <c r="D281" t="s">
        <v>151</v>
      </c>
      <c r="E281">
        <v>10</v>
      </c>
      <c r="F281">
        <v>15</v>
      </c>
      <c r="G281" t="s">
        <v>40</v>
      </c>
      <c r="H281">
        <v>31.030902399999999</v>
      </c>
      <c r="I281" t="str">
        <f>"-102.2763683"</f>
        <v>-102.2763683</v>
      </c>
      <c r="J281">
        <v>31.031053350000001</v>
      </c>
      <c r="K281" t="str">
        <f>"-102.27678314"</f>
        <v>-102.27678314</v>
      </c>
      <c r="L281" t="s">
        <v>43</v>
      </c>
      <c r="Q281">
        <v>5115</v>
      </c>
      <c r="R281" t="s">
        <v>44</v>
      </c>
      <c r="AA281" t="s">
        <v>45</v>
      </c>
      <c r="AB281" t="str">
        <f t="shared" ref="AB281:AB286" si="33">"08"</f>
        <v>08</v>
      </c>
      <c r="AC281">
        <v>23437</v>
      </c>
      <c r="AD281">
        <v>846860</v>
      </c>
      <c r="AE281" t="s">
        <v>235</v>
      </c>
      <c r="AF281" t="s">
        <v>236</v>
      </c>
      <c r="AG281" t="s">
        <v>145</v>
      </c>
      <c r="AH281">
        <v>1</v>
      </c>
      <c r="AI281" s="7" t="str">
        <f t="shared" si="31"/>
        <v>37104301_08_1_1</v>
      </c>
      <c r="AJ281" t="s">
        <v>51</v>
      </c>
      <c r="AK281" t="s">
        <v>52</v>
      </c>
      <c r="AL281" s="1">
        <v>28868</v>
      </c>
      <c r="AM281">
        <v>5115</v>
      </c>
    </row>
    <row r="282" spans="1:39" s="5" customFormat="1" x14ac:dyDescent="0.35">
      <c r="A282" s="4">
        <v>37104303</v>
      </c>
      <c r="B282" s="9" t="s">
        <v>373</v>
      </c>
      <c r="C282" s="5">
        <v>1</v>
      </c>
      <c r="D282" s="5" t="s">
        <v>237</v>
      </c>
      <c r="E282" s="5">
        <v>6</v>
      </c>
      <c r="F282" s="5">
        <v>50</v>
      </c>
      <c r="G282" s="5" t="s">
        <v>42</v>
      </c>
      <c r="H282" s="5">
        <v>2959676.7529527498</v>
      </c>
      <c r="I282" s="5" t="str">
        <f>"2294122.55019686"</f>
        <v>2294122.55019686</v>
      </c>
      <c r="J282" s="5">
        <v>31.03589414</v>
      </c>
      <c r="K282" s="5" t="str">
        <f>"-102.25898419"</f>
        <v>-102.25898419</v>
      </c>
      <c r="L282" s="5" t="s">
        <v>65</v>
      </c>
      <c r="M282" s="5">
        <v>847870</v>
      </c>
      <c r="N282" s="5">
        <v>523592</v>
      </c>
      <c r="O282" s="5" t="s">
        <v>238</v>
      </c>
      <c r="P282" s="5" t="s">
        <v>239</v>
      </c>
      <c r="Q282" s="5">
        <v>5442</v>
      </c>
      <c r="R282" s="5" t="s">
        <v>44</v>
      </c>
      <c r="S282" s="5">
        <v>5614</v>
      </c>
      <c r="T282" s="5" t="s">
        <v>240</v>
      </c>
      <c r="U282" s="5">
        <v>12</v>
      </c>
      <c r="V282" s="5">
        <v>8</v>
      </c>
      <c r="W282" s="5">
        <v>10214</v>
      </c>
      <c r="X282" s="5" t="s">
        <v>189</v>
      </c>
      <c r="Y282" s="5">
        <v>660</v>
      </c>
      <c r="Z282" s="5" t="s">
        <v>195</v>
      </c>
      <c r="AA282" s="5" t="s">
        <v>152</v>
      </c>
      <c r="AB282" s="5" t="str">
        <f t="shared" si="33"/>
        <v>08</v>
      </c>
      <c r="AC282" s="5" t="str">
        <f>"055895"</f>
        <v>055895</v>
      </c>
      <c r="AD282" s="5">
        <v>523592</v>
      </c>
      <c r="AE282" s="5" t="s">
        <v>238</v>
      </c>
      <c r="AF282" s="5" t="s">
        <v>239</v>
      </c>
      <c r="AG282" s="5" t="s">
        <v>56</v>
      </c>
      <c r="AH282" s="5">
        <v>1</v>
      </c>
      <c r="AI282" s="7" t="str">
        <f t="shared" si="31"/>
        <v>37104303_08_1_1</v>
      </c>
      <c r="AJ282" s="5" t="s">
        <v>51</v>
      </c>
      <c r="AK282" s="5" t="s">
        <v>52</v>
      </c>
    </row>
    <row r="283" spans="1:39" x14ac:dyDescent="0.35">
      <c r="A283" s="3">
        <v>37104303</v>
      </c>
      <c r="B283" s="9" t="s">
        <v>373</v>
      </c>
      <c r="C283">
        <v>1</v>
      </c>
      <c r="D283" t="s">
        <v>237</v>
      </c>
      <c r="E283">
        <v>6</v>
      </c>
      <c r="F283">
        <v>50</v>
      </c>
      <c r="G283" t="s">
        <v>42</v>
      </c>
      <c r="H283">
        <v>2959676.7529527498</v>
      </c>
      <c r="I283" t="str">
        <f>"2294122.55019686"</f>
        <v>2294122.55019686</v>
      </c>
      <c r="J283">
        <v>31.03589414</v>
      </c>
      <c r="K283" t="str">
        <f>"-102.25898419"</f>
        <v>-102.25898419</v>
      </c>
      <c r="L283" t="s">
        <v>65</v>
      </c>
      <c r="M283">
        <v>847870</v>
      </c>
      <c r="N283">
        <v>523592</v>
      </c>
      <c r="O283" t="s">
        <v>238</v>
      </c>
      <c r="P283" t="s">
        <v>239</v>
      </c>
      <c r="Q283">
        <v>5442</v>
      </c>
      <c r="R283" t="s">
        <v>44</v>
      </c>
      <c r="S283">
        <v>5614</v>
      </c>
      <c r="T283" t="s">
        <v>240</v>
      </c>
      <c r="U283">
        <v>12</v>
      </c>
      <c r="V283">
        <v>8</v>
      </c>
      <c r="W283">
        <v>10214</v>
      </c>
      <c r="X283" t="s">
        <v>189</v>
      </c>
      <c r="Y283">
        <v>660</v>
      </c>
      <c r="Z283" t="s">
        <v>195</v>
      </c>
      <c r="AA283" t="s">
        <v>45</v>
      </c>
      <c r="AB283" t="str">
        <f t="shared" si="33"/>
        <v>08</v>
      </c>
      <c r="AC283">
        <v>21743</v>
      </c>
      <c r="AD283">
        <v>773840</v>
      </c>
      <c r="AE283" t="s">
        <v>79</v>
      </c>
      <c r="AF283" t="s">
        <v>239</v>
      </c>
      <c r="AG283" t="s">
        <v>56</v>
      </c>
      <c r="AH283">
        <v>1</v>
      </c>
      <c r="AI283" s="7" t="str">
        <f t="shared" si="31"/>
        <v>37104303_08_1_1</v>
      </c>
      <c r="AJ283" t="s">
        <v>51</v>
      </c>
      <c r="AK283" t="s">
        <v>52</v>
      </c>
    </row>
    <row r="284" spans="1:39" x14ac:dyDescent="0.35">
      <c r="A284" s="3">
        <v>37104303</v>
      </c>
      <c r="B284" s="9" t="s">
        <v>373</v>
      </c>
      <c r="C284">
        <v>1</v>
      </c>
      <c r="D284" t="s">
        <v>237</v>
      </c>
      <c r="E284">
        <v>6</v>
      </c>
      <c r="F284">
        <v>50</v>
      </c>
      <c r="G284" t="s">
        <v>42</v>
      </c>
      <c r="H284">
        <v>2959676.7529527498</v>
      </c>
      <c r="I284" t="str">
        <f>"2294122.55019686"</f>
        <v>2294122.55019686</v>
      </c>
      <c r="J284">
        <v>31.03589414</v>
      </c>
      <c r="K284" t="str">
        <f>"-102.25898419"</f>
        <v>-102.25898419</v>
      </c>
      <c r="L284" t="s">
        <v>65</v>
      </c>
      <c r="M284">
        <v>847870</v>
      </c>
      <c r="N284">
        <v>523592</v>
      </c>
      <c r="O284" t="s">
        <v>238</v>
      </c>
      <c r="P284" t="s">
        <v>239</v>
      </c>
      <c r="Q284">
        <v>5442</v>
      </c>
      <c r="R284" t="s">
        <v>44</v>
      </c>
      <c r="S284">
        <v>5614</v>
      </c>
      <c r="T284" t="s">
        <v>240</v>
      </c>
      <c r="U284">
        <v>12</v>
      </c>
      <c r="V284">
        <v>8</v>
      </c>
      <c r="W284">
        <v>10214</v>
      </c>
      <c r="X284" t="s">
        <v>189</v>
      </c>
      <c r="Y284">
        <v>660</v>
      </c>
      <c r="Z284" t="s">
        <v>195</v>
      </c>
      <c r="AA284" t="s">
        <v>45</v>
      </c>
      <c r="AB284" t="str">
        <f t="shared" si="33"/>
        <v>08</v>
      </c>
      <c r="AC284">
        <v>28409</v>
      </c>
      <c r="AD284">
        <v>774720</v>
      </c>
      <c r="AE284" t="s">
        <v>60</v>
      </c>
      <c r="AF284" t="s">
        <v>239</v>
      </c>
      <c r="AG284" t="s">
        <v>56</v>
      </c>
      <c r="AH284">
        <v>1</v>
      </c>
      <c r="AI284" s="7" t="str">
        <f t="shared" si="31"/>
        <v>37104303_08_1_1</v>
      </c>
      <c r="AJ284" t="s">
        <v>51</v>
      </c>
      <c r="AK284" t="s">
        <v>52</v>
      </c>
    </row>
    <row r="285" spans="1:39" x14ac:dyDescent="0.35">
      <c r="A285" s="3">
        <v>37104303</v>
      </c>
      <c r="B285" s="9" t="s">
        <v>373</v>
      </c>
      <c r="C285">
        <v>1</v>
      </c>
      <c r="D285" t="s">
        <v>237</v>
      </c>
      <c r="E285">
        <v>6</v>
      </c>
      <c r="F285">
        <v>50</v>
      </c>
      <c r="G285" t="s">
        <v>42</v>
      </c>
      <c r="H285">
        <v>2959676.7529527498</v>
      </c>
      <c r="I285" t="str">
        <f>"2294122.55019686"</f>
        <v>2294122.55019686</v>
      </c>
      <c r="J285">
        <v>31.03589414</v>
      </c>
      <c r="K285" t="str">
        <f>"-102.25898419"</f>
        <v>-102.25898419</v>
      </c>
      <c r="L285" t="s">
        <v>65</v>
      </c>
      <c r="M285">
        <v>847870</v>
      </c>
      <c r="N285">
        <v>523592</v>
      </c>
      <c r="O285" t="s">
        <v>238</v>
      </c>
      <c r="P285" t="s">
        <v>239</v>
      </c>
      <c r="Q285">
        <v>5442</v>
      </c>
      <c r="R285" t="s">
        <v>44</v>
      </c>
      <c r="S285">
        <v>5614</v>
      </c>
      <c r="T285" t="s">
        <v>240</v>
      </c>
      <c r="U285">
        <v>12</v>
      </c>
      <c r="V285">
        <v>8</v>
      </c>
      <c r="W285">
        <v>10214</v>
      </c>
      <c r="X285" t="s">
        <v>189</v>
      </c>
      <c r="Y285">
        <v>660</v>
      </c>
      <c r="Z285" t="s">
        <v>195</v>
      </c>
      <c r="AA285" t="s">
        <v>45</v>
      </c>
      <c r="AB285" t="str">
        <f t="shared" si="33"/>
        <v>08</v>
      </c>
      <c r="AC285">
        <v>31388</v>
      </c>
      <c r="AD285">
        <v>774720</v>
      </c>
      <c r="AE285" t="s">
        <v>60</v>
      </c>
      <c r="AF285" t="s">
        <v>239</v>
      </c>
      <c r="AG285" t="s">
        <v>56</v>
      </c>
      <c r="AH285">
        <v>1</v>
      </c>
      <c r="AI285" s="7" t="str">
        <f t="shared" si="31"/>
        <v>37104303_08_1_1</v>
      </c>
      <c r="AJ285" t="s">
        <v>51</v>
      </c>
      <c r="AK285" t="s">
        <v>52</v>
      </c>
    </row>
    <row r="286" spans="1:39" x14ac:dyDescent="0.35">
      <c r="A286" s="3">
        <v>37104303</v>
      </c>
      <c r="B286" s="9" t="s">
        <v>373</v>
      </c>
      <c r="C286">
        <v>1</v>
      </c>
      <c r="D286" t="s">
        <v>237</v>
      </c>
      <c r="E286">
        <v>6</v>
      </c>
      <c r="F286">
        <v>50</v>
      </c>
      <c r="G286" t="s">
        <v>42</v>
      </c>
      <c r="H286">
        <v>2959676.7529527498</v>
      </c>
      <c r="I286" t="str">
        <f>"2294122.55019686"</f>
        <v>2294122.55019686</v>
      </c>
      <c r="J286">
        <v>31.03589414</v>
      </c>
      <c r="K286" t="str">
        <f>"-102.25898419"</f>
        <v>-102.25898419</v>
      </c>
      <c r="L286" t="s">
        <v>65</v>
      </c>
      <c r="M286">
        <v>847870</v>
      </c>
      <c r="N286">
        <v>523592</v>
      </c>
      <c r="O286" t="s">
        <v>238</v>
      </c>
      <c r="P286" t="s">
        <v>239</v>
      </c>
      <c r="Q286">
        <v>5442</v>
      </c>
      <c r="R286" t="s">
        <v>44</v>
      </c>
      <c r="S286">
        <v>5614</v>
      </c>
      <c r="T286" t="s">
        <v>240</v>
      </c>
      <c r="U286">
        <v>12</v>
      </c>
      <c r="V286">
        <v>8</v>
      </c>
      <c r="W286">
        <v>10214</v>
      </c>
      <c r="X286" t="s">
        <v>189</v>
      </c>
      <c r="Y286">
        <v>660</v>
      </c>
      <c r="Z286" t="s">
        <v>195</v>
      </c>
      <c r="AA286" t="s">
        <v>45</v>
      </c>
      <c r="AB286" t="str">
        <f t="shared" si="33"/>
        <v>08</v>
      </c>
      <c r="AC286">
        <v>51034</v>
      </c>
      <c r="AD286">
        <v>743325</v>
      </c>
      <c r="AE286" t="s">
        <v>241</v>
      </c>
      <c r="AF286" t="s">
        <v>239</v>
      </c>
      <c r="AG286" t="s">
        <v>56</v>
      </c>
      <c r="AH286">
        <v>1</v>
      </c>
      <c r="AI286" s="7" t="str">
        <f t="shared" si="31"/>
        <v>37104303_08_1_1</v>
      </c>
      <c r="AJ286" t="s">
        <v>72</v>
      </c>
      <c r="AK286" t="s">
        <v>73</v>
      </c>
    </row>
    <row r="287" spans="1:39" x14ac:dyDescent="0.35">
      <c r="A287" s="3">
        <v>37104304</v>
      </c>
      <c r="B287" s="3" t="str">
        <f t="shared" si="32"/>
        <v>7C-   2 T-2</v>
      </c>
      <c r="C287">
        <v>2</v>
      </c>
      <c r="D287" t="s">
        <v>151</v>
      </c>
      <c r="E287">
        <v>10</v>
      </c>
      <c r="F287">
        <v>15</v>
      </c>
      <c r="G287" t="s">
        <v>40</v>
      </c>
      <c r="H287">
        <v>31.034323100000002</v>
      </c>
      <c r="I287" t="str">
        <f>"-102.2630366"</f>
        <v>-102.2630366</v>
      </c>
      <c r="J287">
        <v>31.034474029999998</v>
      </c>
      <c r="K287" t="str">
        <f>"-102.2634511"</f>
        <v>-102.2634511</v>
      </c>
      <c r="L287" t="s">
        <v>62</v>
      </c>
      <c r="Q287">
        <v>5388</v>
      </c>
      <c r="R287" t="s">
        <v>44</v>
      </c>
      <c r="AA287" t="s">
        <v>152</v>
      </c>
      <c r="AB287" t="s">
        <v>46</v>
      </c>
      <c r="AC287" t="str">
        <f>"018863"</f>
        <v>018863</v>
      </c>
      <c r="AD287">
        <v>773840</v>
      </c>
      <c r="AE287" t="s">
        <v>79</v>
      </c>
      <c r="AH287" t="s">
        <v>59</v>
      </c>
      <c r="AI287" s="7" t="str">
        <f t="shared" si="31"/>
        <v>37104304_7C_   2 T_2</v>
      </c>
      <c r="AJ287" t="s">
        <v>51</v>
      </c>
      <c r="AK287" t="s">
        <v>52</v>
      </c>
    </row>
    <row r="288" spans="1:39" x14ac:dyDescent="0.35">
      <c r="A288" s="3">
        <v>37104304</v>
      </c>
      <c r="B288" s="3" t="str">
        <f t="shared" si="32"/>
        <v>7C-2-2</v>
      </c>
      <c r="C288">
        <v>2</v>
      </c>
      <c r="D288" t="s">
        <v>151</v>
      </c>
      <c r="E288">
        <v>10</v>
      </c>
      <c r="F288">
        <v>15</v>
      </c>
      <c r="G288" t="s">
        <v>40</v>
      </c>
      <c r="H288">
        <v>31.034323100000002</v>
      </c>
      <c r="I288" t="str">
        <f>"-102.2630366"</f>
        <v>-102.2630366</v>
      </c>
      <c r="J288">
        <v>31.034474029999998</v>
      </c>
      <c r="K288" t="str">
        <f>"-102.2634511"</f>
        <v>-102.2634511</v>
      </c>
      <c r="L288" t="s">
        <v>62</v>
      </c>
      <c r="Q288">
        <v>5388</v>
      </c>
      <c r="R288" t="s">
        <v>44</v>
      </c>
      <c r="AA288" t="s">
        <v>45</v>
      </c>
      <c r="AB288" t="s">
        <v>46</v>
      </c>
      <c r="AC288" t="str">
        <f>"04892"</f>
        <v>04892</v>
      </c>
      <c r="AD288">
        <v>773840</v>
      </c>
      <c r="AE288" t="s">
        <v>79</v>
      </c>
      <c r="AF288" t="s">
        <v>239</v>
      </c>
      <c r="AG288" t="s">
        <v>242</v>
      </c>
      <c r="AH288">
        <v>2</v>
      </c>
      <c r="AI288" s="7" t="str">
        <f t="shared" si="31"/>
        <v>37104304_7C_2_2</v>
      </c>
      <c r="AJ288" t="s">
        <v>51</v>
      </c>
      <c r="AK288" t="s">
        <v>52</v>
      </c>
    </row>
    <row r="289" spans="1:39" x14ac:dyDescent="0.35">
      <c r="A289" s="3">
        <v>37104304</v>
      </c>
      <c r="B289" s="3" t="str">
        <f t="shared" si="32"/>
        <v>08-2-2</v>
      </c>
      <c r="C289">
        <v>2</v>
      </c>
      <c r="D289" t="s">
        <v>151</v>
      </c>
      <c r="E289">
        <v>10</v>
      </c>
      <c r="F289">
        <v>15</v>
      </c>
      <c r="G289" t="s">
        <v>40</v>
      </c>
      <c r="H289">
        <v>31.034323100000002</v>
      </c>
      <c r="I289" t="str">
        <f>"-102.2630366"</f>
        <v>-102.2630366</v>
      </c>
      <c r="J289">
        <v>31.034474029999998</v>
      </c>
      <c r="K289" t="str">
        <f>"-102.2634511"</f>
        <v>-102.2634511</v>
      </c>
      <c r="L289" t="s">
        <v>62</v>
      </c>
      <c r="Q289">
        <v>5388</v>
      </c>
      <c r="R289" t="s">
        <v>44</v>
      </c>
      <c r="AA289" t="s">
        <v>45</v>
      </c>
      <c r="AB289" t="str">
        <f>"08"</f>
        <v>08</v>
      </c>
      <c r="AC289">
        <v>21743</v>
      </c>
      <c r="AD289">
        <v>773840</v>
      </c>
      <c r="AE289" t="s">
        <v>79</v>
      </c>
      <c r="AF289" t="s">
        <v>239</v>
      </c>
      <c r="AG289" t="s">
        <v>56</v>
      </c>
      <c r="AH289">
        <v>2</v>
      </c>
      <c r="AI289" s="7" t="str">
        <f t="shared" si="31"/>
        <v>37104304_08_2_2</v>
      </c>
      <c r="AJ289" t="s">
        <v>51</v>
      </c>
      <c r="AK289" t="s">
        <v>52</v>
      </c>
    </row>
    <row r="290" spans="1:39" x14ac:dyDescent="0.35">
      <c r="A290" s="3">
        <v>37104921</v>
      </c>
      <c r="B290" s="3" t="str">
        <f t="shared" si="32"/>
        <v>7C-1-1</v>
      </c>
      <c r="C290">
        <v>1</v>
      </c>
      <c r="D290" t="s">
        <v>63</v>
      </c>
      <c r="E290">
        <v>4</v>
      </c>
      <c r="F290">
        <v>20</v>
      </c>
      <c r="G290" t="s">
        <v>243</v>
      </c>
      <c r="H290">
        <v>31.039465310000001</v>
      </c>
      <c r="I290" t="str">
        <f>"-102.24834871"</f>
        <v>-102.24834871</v>
      </c>
      <c r="J290">
        <v>31.039616169999999</v>
      </c>
      <c r="K290" t="str">
        <f>"-102.24876287"</f>
        <v>-102.24876287</v>
      </c>
      <c r="L290" t="s">
        <v>62</v>
      </c>
      <c r="Q290">
        <v>5340</v>
      </c>
      <c r="R290" t="s">
        <v>44</v>
      </c>
      <c r="AA290" t="s">
        <v>45</v>
      </c>
      <c r="AB290" t="s">
        <v>46</v>
      </c>
      <c r="AC290" t="str">
        <f>"03740"</f>
        <v>03740</v>
      </c>
      <c r="AD290">
        <v>844110</v>
      </c>
      <c r="AE290" t="s">
        <v>147</v>
      </c>
      <c r="AF290" t="s">
        <v>244</v>
      </c>
      <c r="AG290" t="s">
        <v>53</v>
      </c>
      <c r="AH290">
        <v>1</v>
      </c>
      <c r="AI290" s="7" t="str">
        <f t="shared" si="31"/>
        <v>37104921_7C_1_1</v>
      </c>
      <c r="AJ290" t="s">
        <v>51</v>
      </c>
      <c r="AK290" t="s">
        <v>52</v>
      </c>
    </row>
    <row r="291" spans="1:39" x14ac:dyDescent="0.35">
      <c r="A291" s="3">
        <v>37104921</v>
      </c>
      <c r="B291" s="3" t="str">
        <f t="shared" si="32"/>
        <v>08-1-1</v>
      </c>
      <c r="C291">
        <v>1</v>
      </c>
      <c r="D291" t="s">
        <v>63</v>
      </c>
      <c r="E291">
        <v>4</v>
      </c>
      <c r="F291">
        <v>20</v>
      </c>
      <c r="G291" t="s">
        <v>243</v>
      </c>
      <c r="H291">
        <v>31.039465310000001</v>
      </c>
      <c r="I291" t="str">
        <f>"-102.24834871"</f>
        <v>-102.24834871</v>
      </c>
      <c r="J291">
        <v>31.039616169999999</v>
      </c>
      <c r="K291" t="str">
        <f>"-102.24876287"</f>
        <v>-102.24876287</v>
      </c>
      <c r="L291" t="s">
        <v>62</v>
      </c>
      <c r="Q291">
        <v>5340</v>
      </c>
      <c r="R291" t="s">
        <v>44</v>
      </c>
      <c r="AA291" t="s">
        <v>45</v>
      </c>
      <c r="AB291" t="str">
        <f>"08"</f>
        <v>08</v>
      </c>
      <c r="AC291">
        <v>21745</v>
      </c>
      <c r="AD291">
        <v>844110</v>
      </c>
      <c r="AE291" t="s">
        <v>147</v>
      </c>
      <c r="AF291" t="s">
        <v>244</v>
      </c>
      <c r="AG291" t="s">
        <v>56</v>
      </c>
      <c r="AH291">
        <v>1</v>
      </c>
      <c r="AI291" s="7" t="str">
        <f t="shared" si="31"/>
        <v>37104921_08_1_1</v>
      </c>
      <c r="AJ291" t="s">
        <v>51</v>
      </c>
      <c r="AK291" t="s">
        <v>52</v>
      </c>
    </row>
    <row r="292" spans="1:39" x14ac:dyDescent="0.35">
      <c r="A292" s="3">
        <v>37104922</v>
      </c>
      <c r="B292" s="3" t="str">
        <f t="shared" si="32"/>
        <v>08-1-1B</v>
      </c>
      <c r="C292" t="s">
        <v>245</v>
      </c>
      <c r="D292" t="s">
        <v>41</v>
      </c>
      <c r="E292">
        <v>7</v>
      </c>
      <c r="F292">
        <v>15</v>
      </c>
      <c r="G292" t="s">
        <v>40</v>
      </c>
      <c r="H292">
        <v>31.033434199999999</v>
      </c>
      <c r="I292" t="str">
        <f>"-102.2475818"</f>
        <v>-102.2475818</v>
      </c>
      <c r="J292">
        <v>31.03358527</v>
      </c>
      <c r="K292" t="str">
        <f>"-102.24799586"</f>
        <v>-102.24799586</v>
      </c>
      <c r="L292" t="s">
        <v>62</v>
      </c>
      <c r="Q292">
        <v>5300</v>
      </c>
      <c r="R292" t="s">
        <v>44</v>
      </c>
      <c r="AA292" t="s">
        <v>45</v>
      </c>
      <c r="AB292" t="str">
        <f>"08"</f>
        <v>08</v>
      </c>
      <c r="AC292">
        <v>21747</v>
      </c>
      <c r="AD292">
        <v>341516</v>
      </c>
      <c r="AE292" t="s">
        <v>246</v>
      </c>
      <c r="AF292" t="s">
        <v>247</v>
      </c>
      <c r="AG292" t="s">
        <v>56</v>
      </c>
      <c r="AH292">
        <v>1</v>
      </c>
      <c r="AI292" s="7" t="str">
        <f t="shared" si="31"/>
        <v>37104922_08_1_1B</v>
      </c>
      <c r="AJ292" t="s">
        <v>51</v>
      </c>
      <c r="AK292" t="s">
        <v>52</v>
      </c>
    </row>
    <row r="293" spans="1:39" x14ac:dyDescent="0.35">
      <c r="A293" s="3">
        <v>37104923</v>
      </c>
      <c r="B293" s="3" t="str">
        <f t="shared" si="32"/>
        <v>7C-1-1</v>
      </c>
      <c r="C293">
        <v>1</v>
      </c>
      <c r="D293" t="s">
        <v>41</v>
      </c>
      <c r="E293">
        <v>7</v>
      </c>
      <c r="F293">
        <v>15</v>
      </c>
      <c r="G293" t="s">
        <v>40</v>
      </c>
      <c r="H293">
        <v>31.032434599999998</v>
      </c>
      <c r="I293" t="str">
        <f>"-102.239056"</f>
        <v>-102.239056</v>
      </c>
      <c r="J293">
        <v>31.032585780000002</v>
      </c>
      <c r="K293" t="str">
        <f>"-102.23946989"</f>
        <v>-102.23946989</v>
      </c>
      <c r="L293" t="s">
        <v>62</v>
      </c>
      <c r="Q293">
        <v>5350</v>
      </c>
      <c r="R293" t="s">
        <v>44</v>
      </c>
      <c r="AA293" t="s">
        <v>45</v>
      </c>
      <c r="AB293" t="s">
        <v>46</v>
      </c>
      <c r="AC293" t="str">
        <f>"03907"</f>
        <v>03907</v>
      </c>
      <c r="AD293">
        <v>844110</v>
      </c>
      <c r="AE293" t="s">
        <v>147</v>
      </c>
      <c r="AG293" t="s">
        <v>53</v>
      </c>
      <c r="AH293">
        <v>1</v>
      </c>
      <c r="AI293" s="7" t="str">
        <f t="shared" si="31"/>
        <v>37104923_7C_1_1</v>
      </c>
      <c r="AJ293" t="s">
        <v>51</v>
      </c>
      <c r="AK293" t="s">
        <v>52</v>
      </c>
    </row>
    <row r="294" spans="1:39" x14ac:dyDescent="0.35">
      <c r="A294" s="3">
        <v>37104923</v>
      </c>
      <c r="B294" s="3" t="str">
        <f t="shared" si="32"/>
        <v>08-1-1</v>
      </c>
      <c r="C294">
        <v>1</v>
      </c>
      <c r="D294" t="s">
        <v>41</v>
      </c>
      <c r="E294">
        <v>7</v>
      </c>
      <c r="F294">
        <v>15</v>
      </c>
      <c r="G294" t="s">
        <v>40</v>
      </c>
      <c r="H294">
        <v>31.032434599999998</v>
      </c>
      <c r="I294" t="str">
        <f>"-102.239056"</f>
        <v>-102.239056</v>
      </c>
      <c r="J294">
        <v>31.032585780000002</v>
      </c>
      <c r="K294" t="str">
        <f>"-102.23946989"</f>
        <v>-102.23946989</v>
      </c>
      <c r="L294" t="s">
        <v>62</v>
      </c>
      <c r="Q294">
        <v>5350</v>
      </c>
      <c r="R294" t="s">
        <v>44</v>
      </c>
      <c r="AA294" t="s">
        <v>45</v>
      </c>
      <c r="AB294" t="str">
        <f>"08"</f>
        <v>08</v>
      </c>
      <c r="AC294">
        <v>21746</v>
      </c>
      <c r="AD294">
        <v>844110</v>
      </c>
      <c r="AE294" t="s">
        <v>147</v>
      </c>
      <c r="AF294" t="s">
        <v>248</v>
      </c>
      <c r="AG294" t="s">
        <v>56</v>
      </c>
      <c r="AH294">
        <v>1</v>
      </c>
      <c r="AI294" s="7" t="str">
        <f t="shared" si="31"/>
        <v>37104923_08_1_1</v>
      </c>
      <c r="AJ294" t="s">
        <v>51</v>
      </c>
      <c r="AK294" t="s">
        <v>52</v>
      </c>
    </row>
    <row r="295" spans="1:39" x14ac:dyDescent="0.35">
      <c r="A295" s="3">
        <v>37104924</v>
      </c>
      <c r="B295" s="3" t="str">
        <f t="shared" si="32"/>
        <v>08-   2 U-2</v>
      </c>
      <c r="C295">
        <v>2</v>
      </c>
      <c r="D295" t="s">
        <v>41</v>
      </c>
      <c r="E295">
        <v>7</v>
      </c>
      <c r="F295">
        <v>15</v>
      </c>
      <c r="G295" t="s">
        <v>40</v>
      </c>
      <c r="H295">
        <v>31.039024300000001</v>
      </c>
      <c r="I295" t="str">
        <f>"-102.2552111"</f>
        <v>-102.2552111</v>
      </c>
      <c r="J295">
        <v>31.039175140000001</v>
      </c>
      <c r="K295" t="str">
        <f>"-102.25562544"</f>
        <v>-102.25562544</v>
      </c>
      <c r="L295" t="s">
        <v>62</v>
      </c>
      <c r="Q295">
        <v>5353</v>
      </c>
      <c r="R295" t="s">
        <v>44</v>
      </c>
      <c r="AA295" t="s">
        <v>45</v>
      </c>
      <c r="AB295" t="str">
        <f>"08"</f>
        <v>08</v>
      </c>
      <c r="AC295">
        <v>21745</v>
      </c>
      <c r="AD295">
        <v>844110</v>
      </c>
      <c r="AE295" t="s">
        <v>147</v>
      </c>
      <c r="AF295" t="s">
        <v>244</v>
      </c>
      <c r="AG295" t="s">
        <v>56</v>
      </c>
      <c r="AH295" t="s">
        <v>249</v>
      </c>
      <c r="AI295" s="7" t="str">
        <f t="shared" si="31"/>
        <v>37104924_08_   2 U_2</v>
      </c>
      <c r="AJ295" t="s">
        <v>51</v>
      </c>
      <c r="AK295" t="s">
        <v>52</v>
      </c>
    </row>
    <row r="296" spans="1:39" x14ac:dyDescent="0.35">
      <c r="A296" s="3">
        <v>37110038</v>
      </c>
      <c r="B296" s="3" t="str">
        <f t="shared" si="32"/>
        <v>08-2-2</v>
      </c>
      <c r="C296">
        <v>2</v>
      </c>
      <c r="D296" t="s">
        <v>41</v>
      </c>
      <c r="E296">
        <v>7</v>
      </c>
      <c r="F296">
        <v>40</v>
      </c>
      <c r="G296" t="s">
        <v>203</v>
      </c>
      <c r="H296">
        <v>31.031692639999999</v>
      </c>
      <c r="I296" t="str">
        <f>"-102.24217122"</f>
        <v>-102.24217122</v>
      </c>
      <c r="J296">
        <v>31.031843769999998</v>
      </c>
      <c r="K296" t="str">
        <f>"-102.24258513"</f>
        <v>-102.24258513</v>
      </c>
      <c r="L296" t="s">
        <v>43</v>
      </c>
      <c r="M296">
        <v>489759</v>
      </c>
      <c r="N296">
        <v>341516</v>
      </c>
      <c r="O296" t="s">
        <v>246</v>
      </c>
      <c r="P296" t="s">
        <v>250</v>
      </c>
      <c r="Q296">
        <v>5350</v>
      </c>
      <c r="R296" t="s">
        <v>44</v>
      </c>
      <c r="S296">
        <v>5610</v>
      </c>
      <c r="T296" t="s">
        <v>251</v>
      </c>
      <c r="U296">
        <v>12</v>
      </c>
      <c r="V296">
        <v>10</v>
      </c>
      <c r="W296">
        <v>467</v>
      </c>
      <c r="X296" t="s">
        <v>195</v>
      </c>
      <c r="Y296">
        <v>7900</v>
      </c>
      <c r="Z296" t="s">
        <v>189</v>
      </c>
      <c r="AA296" t="s">
        <v>45</v>
      </c>
      <c r="AB296" t="str">
        <f>"08"</f>
        <v>08</v>
      </c>
      <c r="AC296">
        <v>21747</v>
      </c>
      <c r="AD296">
        <v>341516</v>
      </c>
      <c r="AE296" t="s">
        <v>246</v>
      </c>
      <c r="AF296" t="s">
        <v>247</v>
      </c>
      <c r="AG296" t="s">
        <v>56</v>
      </c>
      <c r="AH296">
        <v>2</v>
      </c>
      <c r="AI296" s="7" t="str">
        <f t="shared" si="31"/>
        <v>37110038_08_2_2</v>
      </c>
      <c r="AJ296" t="s">
        <v>51</v>
      </c>
      <c r="AK296" t="s">
        <v>52</v>
      </c>
      <c r="AL296" s="1">
        <v>36859</v>
      </c>
      <c r="AM296">
        <v>5350</v>
      </c>
    </row>
    <row r="297" spans="1:39" x14ac:dyDescent="0.35">
      <c r="A297" s="3">
        <v>37130139</v>
      </c>
      <c r="B297" s="3" t="str">
        <f t="shared" si="32"/>
        <v>08-2-2</v>
      </c>
      <c r="C297">
        <v>2</v>
      </c>
      <c r="D297" t="s">
        <v>237</v>
      </c>
      <c r="E297">
        <v>6</v>
      </c>
      <c r="F297">
        <v>40</v>
      </c>
      <c r="G297" t="s">
        <v>203</v>
      </c>
      <c r="H297">
        <v>31.027624700000001</v>
      </c>
      <c r="I297" t="str">
        <f>"-102.2563413"</f>
        <v>-102.2563413</v>
      </c>
      <c r="J297">
        <v>31.027775890000001</v>
      </c>
      <c r="K297" t="str">
        <f>"-102.25675549"</f>
        <v>-102.25675549</v>
      </c>
      <c r="L297" t="s">
        <v>65</v>
      </c>
      <c r="M297">
        <v>386336</v>
      </c>
      <c r="N297">
        <v>621750</v>
      </c>
      <c r="O297" t="s">
        <v>233</v>
      </c>
      <c r="P297" t="s">
        <v>252</v>
      </c>
      <c r="Q297">
        <v>5550</v>
      </c>
      <c r="R297" t="s">
        <v>44</v>
      </c>
      <c r="S297">
        <v>293</v>
      </c>
      <c r="T297" t="s">
        <v>253</v>
      </c>
      <c r="U297">
        <v>12</v>
      </c>
      <c r="V297">
        <v>9</v>
      </c>
      <c r="W297">
        <v>5940</v>
      </c>
      <c r="X297" t="s">
        <v>189</v>
      </c>
      <c r="Y297">
        <v>660</v>
      </c>
      <c r="Z297" t="s">
        <v>254</v>
      </c>
      <c r="AA297" t="s">
        <v>45</v>
      </c>
      <c r="AB297" t="str">
        <f>"08"</f>
        <v>08</v>
      </c>
      <c r="AC297">
        <v>32860</v>
      </c>
      <c r="AD297">
        <v>578463</v>
      </c>
      <c r="AE297" t="s">
        <v>255</v>
      </c>
      <c r="AF297" t="s">
        <v>252</v>
      </c>
      <c r="AG297" t="s">
        <v>56</v>
      </c>
      <c r="AH297">
        <v>2</v>
      </c>
      <c r="AI297" s="7" t="str">
        <f t="shared" si="31"/>
        <v>37130139_08_2_2</v>
      </c>
      <c r="AJ297" t="s">
        <v>72</v>
      </c>
      <c r="AK297" t="s">
        <v>73</v>
      </c>
    </row>
    <row r="298" spans="1:39" x14ac:dyDescent="0.35">
      <c r="A298" s="3">
        <v>37130189</v>
      </c>
      <c r="B298" s="3" t="str">
        <f t="shared" si="32"/>
        <v>08-1-1</v>
      </c>
      <c r="C298">
        <v>1</v>
      </c>
      <c r="D298" t="s">
        <v>237</v>
      </c>
      <c r="E298">
        <v>6</v>
      </c>
      <c r="F298">
        <v>15</v>
      </c>
      <c r="G298" t="s">
        <v>40</v>
      </c>
      <c r="H298">
        <v>31.023999499999999</v>
      </c>
      <c r="I298" t="str">
        <f t="shared" ref="I298:I303" si="34">"-102.2521577"</f>
        <v>-102.2521577</v>
      </c>
      <c r="J298">
        <v>31.02415083</v>
      </c>
      <c r="K298" t="str">
        <f t="shared" ref="K298:K303" si="35">"-102.25257171"</f>
        <v>-102.25257171</v>
      </c>
      <c r="L298" t="s">
        <v>65</v>
      </c>
      <c r="M298">
        <v>360248</v>
      </c>
      <c r="N298">
        <v>148113</v>
      </c>
      <c r="O298" t="s">
        <v>256</v>
      </c>
      <c r="P298" t="s">
        <v>252</v>
      </c>
      <c r="Q298">
        <v>5503</v>
      </c>
      <c r="R298" t="s">
        <v>44</v>
      </c>
      <c r="T298" t="s">
        <v>257</v>
      </c>
      <c r="U298">
        <v>12</v>
      </c>
      <c r="V298">
        <v>9</v>
      </c>
      <c r="W298">
        <v>4813</v>
      </c>
      <c r="X298" t="s">
        <v>225</v>
      </c>
      <c r="Y298">
        <v>467</v>
      </c>
      <c r="Z298" t="s">
        <v>171</v>
      </c>
      <c r="AA298" t="s">
        <v>152</v>
      </c>
      <c r="AB298" t="str">
        <f>"08"</f>
        <v>08</v>
      </c>
      <c r="AC298">
        <v>131716</v>
      </c>
      <c r="AD298">
        <v>621750</v>
      </c>
      <c r="AE298" t="s">
        <v>233</v>
      </c>
      <c r="AF298" t="s">
        <v>252</v>
      </c>
      <c r="AG298" t="s">
        <v>56</v>
      </c>
      <c r="AH298">
        <v>1</v>
      </c>
      <c r="AI298" s="7" t="str">
        <f t="shared" si="31"/>
        <v>37130189_08_1_1</v>
      </c>
      <c r="AJ298" t="s">
        <v>51</v>
      </c>
      <c r="AK298" t="s">
        <v>52</v>
      </c>
    </row>
    <row r="299" spans="1:39" x14ac:dyDescent="0.35">
      <c r="A299" s="3">
        <v>37130189</v>
      </c>
      <c r="B299" s="3" t="str">
        <f t="shared" si="32"/>
        <v>7C-   1 L-1</v>
      </c>
      <c r="C299">
        <v>1</v>
      </c>
      <c r="D299" t="s">
        <v>237</v>
      </c>
      <c r="E299">
        <v>6</v>
      </c>
      <c r="F299">
        <v>15</v>
      </c>
      <c r="G299" t="s">
        <v>40</v>
      </c>
      <c r="H299">
        <v>31.023999499999999</v>
      </c>
      <c r="I299" t="str">
        <f t="shared" si="34"/>
        <v>-102.2521577</v>
      </c>
      <c r="J299">
        <v>31.02415083</v>
      </c>
      <c r="K299" t="str">
        <f t="shared" si="35"/>
        <v>-102.25257171</v>
      </c>
      <c r="L299" t="s">
        <v>65</v>
      </c>
      <c r="M299">
        <v>360248</v>
      </c>
      <c r="N299">
        <v>148113</v>
      </c>
      <c r="O299" t="s">
        <v>256</v>
      </c>
      <c r="P299" t="s">
        <v>252</v>
      </c>
      <c r="Q299">
        <v>5503</v>
      </c>
      <c r="R299" t="s">
        <v>44</v>
      </c>
      <c r="T299" t="s">
        <v>257</v>
      </c>
      <c r="U299">
        <v>12</v>
      </c>
      <c r="V299">
        <v>9</v>
      </c>
      <c r="W299">
        <v>4813</v>
      </c>
      <c r="X299" t="s">
        <v>225</v>
      </c>
      <c r="Y299">
        <v>467</v>
      </c>
      <c r="Z299" t="s">
        <v>171</v>
      </c>
      <c r="AA299" t="s">
        <v>45</v>
      </c>
      <c r="AB299" t="s">
        <v>46</v>
      </c>
      <c r="AC299" t="str">
        <f>"05734"</f>
        <v>05734</v>
      </c>
      <c r="AD299">
        <v>338130</v>
      </c>
      <c r="AE299" t="s">
        <v>74</v>
      </c>
      <c r="AG299" t="s">
        <v>242</v>
      </c>
      <c r="AH299" t="s">
        <v>258</v>
      </c>
      <c r="AI299" s="7" t="str">
        <f t="shared" si="31"/>
        <v>37130189_7C_   1 L_1</v>
      </c>
      <c r="AJ299" t="s">
        <v>51</v>
      </c>
      <c r="AK299" t="s">
        <v>52</v>
      </c>
    </row>
    <row r="300" spans="1:39" x14ac:dyDescent="0.35">
      <c r="A300" s="3">
        <v>37130189</v>
      </c>
      <c r="B300" s="3" t="str">
        <f t="shared" si="32"/>
        <v>7C-   1 U-1</v>
      </c>
      <c r="C300">
        <v>1</v>
      </c>
      <c r="D300" t="s">
        <v>237</v>
      </c>
      <c r="E300">
        <v>6</v>
      </c>
      <c r="F300">
        <v>15</v>
      </c>
      <c r="G300" t="s">
        <v>40</v>
      </c>
      <c r="H300">
        <v>31.023999499999999</v>
      </c>
      <c r="I300" t="str">
        <f t="shared" si="34"/>
        <v>-102.2521577</v>
      </c>
      <c r="J300">
        <v>31.02415083</v>
      </c>
      <c r="K300" t="str">
        <f t="shared" si="35"/>
        <v>-102.25257171</v>
      </c>
      <c r="L300" t="s">
        <v>65</v>
      </c>
      <c r="M300">
        <v>360248</v>
      </c>
      <c r="N300">
        <v>148113</v>
      </c>
      <c r="O300" t="s">
        <v>256</v>
      </c>
      <c r="P300" t="s">
        <v>252</v>
      </c>
      <c r="Q300">
        <v>5503</v>
      </c>
      <c r="R300" t="s">
        <v>44</v>
      </c>
      <c r="T300" t="s">
        <v>257</v>
      </c>
      <c r="U300">
        <v>12</v>
      </c>
      <c r="V300">
        <v>9</v>
      </c>
      <c r="W300">
        <v>4813</v>
      </c>
      <c r="X300" t="s">
        <v>225</v>
      </c>
      <c r="Y300">
        <v>467</v>
      </c>
      <c r="Z300" t="s">
        <v>171</v>
      </c>
      <c r="AA300" t="s">
        <v>45</v>
      </c>
      <c r="AB300" t="s">
        <v>46</v>
      </c>
      <c r="AC300" t="str">
        <f>"05762"</f>
        <v>05762</v>
      </c>
      <c r="AD300">
        <v>338130</v>
      </c>
      <c r="AE300" t="s">
        <v>74</v>
      </c>
      <c r="AG300" t="s">
        <v>145</v>
      </c>
      <c r="AH300" t="s">
        <v>259</v>
      </c>
      <c r="AI300" s="7" t="str">
        <f t="shared" si="31"/>
        <v>37130189_7C_   1 U_1</v>
      </c>
      <c r="AJ300" t="s">
        <v>51</v>
      </c>
      <c r="AK300" t="s">
        <v>52</v>
      </c>
    </row>
    <row r="301" spans="1:39" x14ac:dyDescent="0.35">
      <c r="A301" s="3">
        <v>37130189</v>
      </c>
      <c r="B301" s="3" t="str">
        <f t="shared" si="32"/>
        <v>08-   1 U-1</v>
      </c>
      <c r="C301">
        <v>1</v>
      </c>
      <c r="D301" t="s">
        <v>237</v>
      </c>
      <c r="E301">
        <v>6</v>
      </c>
      <c r="F301">
        <v>15</v>
      </c>
      <c r="G301" t="s">
        <v>40</v>
      </c>
      <c r="H301">
        <v>31.023999499999999</v>
      </c>
      <c r="I301" t="str">
        <f t="shared" si="34"/>
        <v>-102.2521577</v>
      </c>
      <c r="J301">
        <v>31.02415083</v>
      </c>
      <c r="K301" t="str">
        <f t="shared" si="35"/>
        <v>-102.25257171</v>
      </c>
      <c r="L301" t="s">
        <v>65</v>
      </c>
      <c r="M301">
        <v>360248</v>
      </c>
      <c r="N301">
        <v>148113</v>
      </c>
      <c r="O301" t="s">
        <v>256</v>
      </c>
      <c r="P301" t="s">
        <v>252</v>
      </c>
      <c r="Q301">
        <v>5503</v>
      </c>
      <c r="R301" t="s">
        <v>44</v>
      </c>
      <c r="T301" t="s">
        <v>257</v>
      </c>
      <c r="U301">
        <v>12</v>
      </c>
      <c r="V301">
        <v>9</v>
      </c>
      <c r="W301">
        <v>4813</v>
      </c>
      <c r="X301" t="s">
        <v>225</v>
      </c>
      <c r="Y301">
        <v>467</v>
      </c>
      <c r="Z301" t="s">
        <v>171</v>
      </c>
      <c r="AA301" t="s">
        <v>45</v>
      </c>
      <c r="AB301" t="str">
        <f>"08"</f>
        <v>08</v>
      </c>
      <c r="AC301">
        <v>21826</v>
      </c>
      <c r="AD301">
        <v>148113</v>
      </c>
      <c r="AE301" t="s">
        <v>256</v>
      </c>
      <c r="AF301" t="s">
        <v>260</v>
      </c>
      <c r="AG301" t="s">
        <v>145</v>
      </c>
      <c r="AH301" t="s">
        <v>259</v>
      </c>
      <c r="AI301" s="7" t="str">
        <f t="shared" si="31"/>
        <v>37130189_08_   1 U_1</v>
      </c>
      <c r="AJ301" t="s">
        <v>51</v>
      </c>
      <c r="AK301" t="s">
        <v>52</v>
      </c>
    </row>
    <row r="302" spans="1:39" x14ac:dyDescent="0.35">
      <c r="A302" s="3">
        <v>37130189</v>
      </c>
      <c r="B302" s="3" t="str">
        <f t="shared" si="32"/>
        <v>08-   1 L-1</v>
      </c>
      <c r="C302">
        <v>1</v>
      </c>
      <c r="D302" t="s">
        <v>237</v>
      </c>
      <c r="E302">
        <v>6</v>
      </c>
      <c r="F302">
        <v>15</v>
      </c>
      <c r="G302" t="s">
        <v>40</v>
      </c>
      <c r="H302">
        <v>31.023999499999999</v>
      </c>
      <c r="I302" t="str">
        <f t="shared" si="34"/>
        <v>-102.2521577</v>
      </c>
      <c r="J302">
        <v>31.02415083</v>
      </c>
      <c r="K302" t="str">
        <f t="shared" si="35"/>
        <v>-102.25257171</v>
      </c>
      <c r="L302" t="s">
        <v>65</v>
      </c>
      <c r="M302">
        <v>360248</v>
      </c>
      <c r="N302">
        <v>148113</v>
      </c>
      <c r="O302" t="s">
        <v>256</v>
      </c>
      <c r="P302" t="s">
        <v>252</v>
      </c>
      <c r="Q302">
        <v>5503</v>
      </c>
      <c r="R302" t="s">
        <v>44</v>
      </c>
      <c r="T302" t="s">
        <v>257</v>
      </c>
      <c r="U302">
        <v>12</v>
      </c>
      <c r="V302">
        <v>9</v>
      </c>
      <c r="W302">
        <v>4813</v>
      </c>
      <c r="X302" t="s">
        <v>225</v>
      </c>
      <c r="Y302">
        <v>467</v>
      </c>
      <c r="Z302" t="s">
        <v>171</v>
      </c>
      <c r="AA302" t="s">
        <v>45</v>
      </c>
      <c r="AB302" t="str">
        <f>"08"</f>
        <v>08</v>
      </c>
      <c r="AC302">
        <v>21829</v>
      </c>
      <c r="AD302">
        <v>148113</v>
      </c>
      <c r="AE302" t="s">
        <v>256</v>
      </c>
      <c r="AF302" t="s">
        <v>260</v>
      </c>
      <c r="AG302" t="s">
        <v>242</v>
      </c>
      <c r="AH302" t="s">
        <v>258</v>
      </c>
      <c r="AI302" s="7" t="str">
        <f t="shared" si="31"/>
        <v>37130189_08_   1 L_1</v>
      </c>
      <c r="AJ302" t="s">
        <v>51</v>
      </c>
      <c r="AK302" t="s">
        <v>52</v>
      </c>
    </row>
    <row r="303" spans="1:39" x14ac:dyDescent="0.35">
      <c r="A303" s="3">
        <v>37130189</v>
      </c>
      <c r="B303" s="3" t="str">
        <f t="shared" si="32"/>
        <v>08-1-1</v>
      </c>
      <c r="C303">
        <v>1</v>
      </c>
      <c r="D303" t="s">
        <v>237</v>
      </c>
      <c r="E303">
        <v>6</v>
      </c>
      <c r="F303">
        <v>15</v>
      </c>
      <c r="G303" t="s">
        <v>40</v>
      </c>
      <c r="H303">
        <v>31.023999499999999</v>
      </c>
      <c r="I303" t="str">
        <f t="shared" si="34"/>
        <v>-102.2521577</v>
      </c>
      <c r="J303">
        <v>31.02415083</v>
      </c>
      <c r="K303" t="str">
        <f t="shared" si="35"/>
        <v>-102.25257171</v>
      </c>
      <c r="L303" t="s">
        <v>65</v>
      </c>
      <c r="M303">
        <v>360248</v>
      </c>
      <c r="N303">
        <v>148113</v>
      </c>
      <c r="O303" t="s">
        <v>256</v>
      </c>
      <c r="P303" t="s">
        <v>252</v>
      </c>
      <c r="Q303">
        <v>5503</v>
      </c>
      <c r="R303" t="s">
        <v>44</v>
      </c>
      <c r="T303" t="s">
        <v>257</v>
      </c>
      <c r="U303">
        <v>12</v>
      </c>
      <c r="V303">
        <v>9</v>
      </c>
      <c r="W303">
        <v>4813</v>
      </c>
      <c r="X303" t="s">
        <v>225</v>
      </c>
      <c r="Y303">
        <v>467</v>
      </c>
      <c r="Z303" t="s">
        <v>171</v>
      </c>
      <c r="AA303" t="s">
        <v>45</v>
      </c>
      <c r="AB303" t="str">
        <f>"08"</f>
        <v>08</v>
      </c>
      <c r="AC303">
        <v>32860</v>
      </c>
      <c r="AD303">
        <v>578463</v>
      </c>
      <c r="AE303" t="s">
        <v>255</v>
      </c>
      <c r="AF303" t="s">
        <v>252</v>
      </c>
      <c r="AG303" t="s">
        <v>56</v>
      </c>
      <c r="AH303">
        <v>1</v>
      </c>
      <c r="AI303" s="7" t="str">
        <f t="shared" si="31"/>
        <v>37130189_08_1_1</v>
      </c>
      <c r="AJ303" t="s">
        <v>77</v>
      </c>
      <c r="AK303" t="s">
        <v>73</v>
      </c>
    </row>
    <row r="304" spans="1:39" x14ac:dyDescent="0.35">
      <c r="A304" s="3">
        <v>37130242</v>
      </c>
      <c r="B304" s="3" t="str">
        <f t="shared" si="32"/>
        <v>08-   1 J-1J</v>
      </c>
      <c r="C304" t="s">
        <v>261</v>
      </c>
      <c r="D304" t="s">
        <v>41</v>
      </c>
      <c r="E304">
        <v>7</v>
      </c>
      <c r="F304">
        <v>15</v>
      </c>
      <c r="G304" t="s">
        <v>40</v>
      </c>
      <c r="H304">
        <v>31.031655900000001</v>
      </c>
      <c r="I304" t="str">
        <f>"-102.2513582"</f>
        <v>-102.2513582</v>
      </c>
      <c r="J304">
        <v>31.03180699</v>
      </c>
      <c r="K304" t="str">
        <f>"-102.25177231"</f>
        <v>-102.25177231</v>
      </c>
      <c r="L304" t="s">
        <v>43</v>
      </c>
      <c r="Q304">
        <v>5500</v>
      </c>
      <c r="R304" t="s">
        <v>44</v>
      </c>
      <c r="AA304" t="s">
        <v>45</v>
      </c>
      <c r="AB304" t="str">
        <f>"08"</f>
        <v>08</v>
      </c>
      <c r="AC304">
        <v>21748</v>
      </c>
      <c r="AD304">
        <v>844118</v>
      </c>
      <c r="AE304" t="s">
        <v>209</v>
      </c>
      <c r="AF304" t="s">
        <v>262</v>
      </c>
      <c r="AG304" t="s">
        <v>56</v>
      </c>
      <c r="AH304" t="s">
        <v>263</v>
      </c>
      <c r="AI304" s="7" t="str">
        <f t="shared" si="31"/>
        <v>37130242_08_   1 J_1J</v>
      </c>
      <c r="AJ304" t="s">
        <v>51</v>
      </c>
      <c r="AK304" t="s">
        <v>52</v>
      </c>
      <c r="AL304" s="1">
        <v>34813</v>
      </c>
      <c r="AM304">
        <v>5500</v>
      </c>
    </row>
    <row r="305" spans="1:39" x14ac:dyDescent="0.35">
      <c r="A305" s="3">
        <v>37130264</v>
      </c>
      <c r="B305" s="3" t="str">
        <f t="shared" si="32"/>
        <v>7C-1-1</v>
      </c>
      <c r="C305">
        <v>1</v>
      </c>
      <c r="D305" t="s">
        <v>63</v>
      </c>
      <c r="E305">
        <v>4</v>
      </c>
      <c r="F305">
        <v>15</v>
      </c>
      <c r="G305" t="s">
        <v>40</v>
      </c>
      <c r="H305">
        <v>31.0249259</v>
      </c>
      <c r="I305" t="str">
        <f>"-102.2612631"</f>
        <v>-102.2612631</v>
      </c>
      <c r="J305">
        <v>31.02507714</v>
      </c>
      <c r="K305" t="str">
        <f>"-102.2616774"</f>
        <v>-102.2616774</v>
      </c>
      <c r="L305" t="s">
        <v>65</v>
      </c>
      <c r="M305">
        <v>174045</v>
      </c>
      <c r="N305">
        <v>519520</v>
      </c>
      <c r="O305" t="s">
        <v>264</v>
      </c>
      <c r="P305" t="s">
        <v>265</v>
      </c>
      <c r="Q305">
        <v>5481</v>
      </c>
      <c r="R305" t="s">
        <v>44</v>
      </c>
      <c r="AA305" t="s">
        <v>45</v>
      </c>
      <c r="AB305" t="s">
        <v>46</v>
      </c>
      <c r="AC305" t="str">
        <f>"05791"</f>
        <v>05791</v>
      </c>
      <c r="AD305">
        <v>519520</v>
      </c>
      <c r="AE305" t="s">
        <v>264</v>
      </c>
      <c r="AF305" t="s">
        <v>266</v>
      </c>
      <c r="AG305" t="s">
        <v>145</v>
      </c>
      <c r="AH305">
        <v>1</v>
      </c>
      <c r="AI305" s="7" t="str">
        <f t="shared" si="31"/>
        <v>37130264_7C_1_1</v>
      </c>
      <c r="AJ305" t="s">
        <v>51</v>
      </c>
      <c r="AK305" t="s">
        <v>52</v>
      </c>
    </row>
    <row r="306" spans="1:39" x14ac:dyDescent="0.35">
      <c r="A306" s="3">
        <v>37130264</v>
      </c>
      <c r="B306" s="3" t="str">
        <f t="shared" si="32"/>
        <v>08-1-1</v>
      </c>
      <c r="C306">
        <v>1</v>
      </c>
      <c r="D306" t="s">
        <v>63</v>
      </c>
      <c r="E306">
        <v>4</v>
      </c>
      <c r="F306">
        <v>15</v>
      </c>
      <c r="G306" t="s">
        <v>40</v>
      </c>
      <c r="H306">
        <v>31.0249259</v>
      </c>
      <c r="I306" t="str">
        <f>"-102.2612631"</f>
        <v>-102.2612631</v>
      </c>
      <c r="J306">
        <v>31.02507714</v>
      </c>
      <c r="K306" t="str">
        <f>"-102.2616774"</f>
        <v>-102.2616774</v>
      </c>
      <c r="L306" t="s">
        <v>65</v>
      </c>
      <c r="M306">
        <v>174045</v>
      </c>
      <c r="N306">
        <v>519520</v>
      </c>
      <c r="O306" t="s">
        <v>264</v>
      </c>
      <c r="P306" t="s">
        <v>265</v>
      </c>
      <c r="Q306">
        <v>5481</v>
      </c>
      <c r="R306" t="s">
        <v>44</v>
      </c>
      <c r="AA306" t="s">
        <v>45</v>
      </c>
      <c r="AB306" t="str">
        <f>"08"</f>
        <v>08</v>
      </c>
      <c r="AC306">
        <v>21827</v>
      </c>
      <c r="AD306">
        <v>519520</v>
      </c>
      <c r="AE306" t="s">
        <v>264</v>
      </c>
      <c r="AF306" t="s">
        <v>267</v>
      </c>
      <c r="AG306" t="s">
        <v>145</v>
      </c>
      <c r="AH306">
        <v>1</v>
      </c>
      <c r="AI306" s="7" t="str">
        <f t="shared" si="31"/>
        <v>37130264_08_1_1</v>
      </c>
      <c r="AJ306" t="s">
        <v>51</v>
      </c>
      <c r="AK306" t="s">
        <v>52</v>
      </c>
    </row>
    <row r="307" spans="1:39" x14ac:dyDescent="0.35">
      <c r="A307" s="3">
        <v>37130264</v>
      </c>
      <c r="B307" s="3" t="str">
        <f t="shared" si="32"/>
        <v>08-1-1</v>
      </c>
      <c r="C307">
        <v>1</v>
      </c>
      <c r="D307" t="s">
        <v>63</v>
      </c>
      <c r="E307">
        <v>4</v>
      </c>
      <c r="F307">
        <v>15</v>
      </c>
      <c r="G307" t="s">
        <v>40</v>
      </c>
      <c r="H307">
        <v>31.0249259</v>
      </c>
      <c r="I307" t="str">
        <f>"-102.2612631"</f>
        <v>-102.2612631</v>
      </c>
      <c r="J307">
        <v>31.02507714</v>
      </c>
      <c r="K307" t="str">
        <f>"-102.2616774"</f>
        <v>-102.2616774</v>
      </c>
      <c r="L307" t="s">
        <v>65</v>
      </c>
      <c r="M307">
        <v>174045</v>
      </c>
      <c r="N307">
        <v>519520</v>
      </c>
      <c r="O307" t="s">
        <v>264</v>
      </c>
      <c r="P307" t="s">
        <v>265</v>
      </c>
      <c r="Q307">
        <v>5481</v>
      </c>
      <c r="R307" t="s">
        <v>44</v>
      </c>
      <c r="AA307" t="s">
        <v>45</v>
      </c>
      <c r="AB307" t="str">
        <f>"08"</f>
        <v>08</v>
      </c>
      <c r="AC307">
        <v>27694</v>
      </c>
      <c r="AD307">
        <v>875023</v>
      </c>
      <c r="AE307" t="s">
        <v>268</v>
      </c>
      <c r="AF307" t="s">
        <v>265</v>
      </c>
      <c r="AG307" t="s">
        <v>269</v>
      </c>
      <c r="AH307">
        <v>1</v>
      </c>
      <c r="AI307" s="7" t="str">
        <f t="shared" si="31"/>
        <v>37130264_08_1_1</v>
      </c>
      <c r="AJ307" t="s">
        <v>270</v>
      </c>
      <c r="AK307" t="s">
        <v>73</v>
      </c>
    </row>
    <row r="308" spans="1:39" x14ac:dyDescent="0.35">
      <c r="A308" s="3">
        <v>37130270</v>
      </c>
      <c r="B308" s="3" t="str">
        <f t="shared" si="32"/>
        <v>08-1-1</v>
      </c>
      <c r="C308">
        <v>1</v>
      </c>
      <c r="D308" t="s">
        <v>271</v>
      </c>
      <c r="E308">
        <v>5</v>
      </c>
      <c r="F308">
        <v>15</v>
      </c>
      <c r="G308" t="s">
        <v>40</v>
      </c>
      <c r="H308">
        <v>31.019171199999999</v>
      </c>
      <c r="I308" t="str">
        <f>"-102.2455715"</f>
        <v>-102.2455715</v>
      </c>
      <c r="J308">
        <v>31.019322729999999</v>
      </c>
      <c r="K308" t="str">
        <f>"-102.24598529"</f>
        <v>-102.24598529</v>
      </c>
      <c r="L308" t="s">
        <v>65</v>
      </c>
      <c r="Q308">
        <v>5600</v>
      </c>
      <c r="R308" t="s">
        <v>44</v>
      </c>
      <c r="AA308" t="s">
        <v>152</v>
      </c>
      <c r="AB308" t="str">
        <f>"08"</f>
        <v>08</v>
      </c>
      <c r="AC308" t="str">
        <f>"048042"</f>
        <v>048042</v>
      </c>
      <c r="AD308">
        <v>200560</v>
      </c>
      <c r="AE308" t="s">
        <v>272</v>
      </c>
      <c r="AF308" t="s">
        <v>273</v>
      </c>
      <c r="AG308" t="s">
        <v>145</v>
      </c>
      <c r="AH308">
        <v>1</v>
      </c>
      <c r="AI308" s="7" t="str">
        <f t="shared" si="31"/>
        <v>37130270_08_1_1</v>
      </c>
      <c r="AJ308" t="s">
        <v>274</v>
      </c>
      <c r="AK308" t="s">
        <v>73</v>
      </c>
    </row>
    <row r="309" spans="1:39" x14ac:dyDescent="0.35">
      <c r="A309" s="3">
        <v>37130270</v>
      </c>
      <c r="B309" s="3" t="str">
        <f t="shared" si="32"/>
        <v>08-   1 C-1</v>
      </c>
      <c r="C309">
        <v>1</v>
      </c>
      <c r="D309" t="s">
        <v>271</v>
      </c>
      <c r="E309">
        <v>5</v>
      </c>
      <c r="F309">
        <v>15</v>
      </c>
      <c r="G309" t="s">
        <v>40</v>
      </c>
      <c r="H309">
        <v>31.019171199999999</v>
      </c>
      <c r="I309" t="str">
        <f>"-102.2455715"</f>
        <v>-102.2455715</v>
      </c>
      <c r="J309">
        <v>31.019322729999999</v>
      </c>
      <c r="K309" t="str">
        <f>"-102.24598529"</f>
        <v>-102.24598529</v>
      </c>
      <c r="L309" t="s">
        <v>65</v>
      </c>
      <c r="Q309">
        <v>5600</v>
      </c>
      <c r="R309" t="s">
        <v>44</v>
      </c>
      <c r="AA309" t="s">
        <v>152</v>
      </c>
      <c r="AB309" t="str">
        <f>"08"</f>
        <v>08</v>
      </c>
      <c r="AC309" t="str">
        <f>"048154"</f>
        <v>048154</v>
      </c>
      <c r="AD309">
        <v>408850</v>
      </c>
      <c r="AE309" t="s">
        <v>275</v>
      </c>
      <c r="AF309" t="s">
        <v>273</v>
      </c>
      <c r="AG309" t="s">
        <v>276</v>
      </c>
      <c r="AH309" t="s">
        <v>54</v>
      </c>
      <c r="AI309" s="7" t="str">
        <f t="shared" si="31"/>
        <v>37130270_08_   1 C_1</v>
      </c>
      <c r="AJ309" t="s">
        <v>51</v>
      </c>
      <c r="AK309" t="s">
        <v>52</v>
      </c>
    </row>
    <row r="310" spans="1:39" x14ac:dyDescent="0.35">
      <c r="A310" s="3">
        <v>37130278</v>
      </c>
      <c r="B310" s="3" t="str">
        <f t="shared" si="32"/>
        <v>08-   2 H-2</v>
      </c>
      <c r="C310">
        <v>2</v>
      </c>
      <c r="D310" t="s">
        <v>277</v>
      </c>
      <c r="E310">
        <v>8</v>
      </c>
      <c r="F310">
        <v>15</v>
      </c>
      <c r="G310" t="s">
        <v>40</v>
      </c>
      <c r="H310">
        <v>31.032422199999999</v>
      </c>
      <c r="I310" t="str">
        <f>"-102.2553227"</f>
        <v>-102.2553227</v>
      </c>
      <c r="J310">
        <v>31.032573240000001</v>
      </c>
      <c r="K310" t="str">
        <f>"-102.25573694"</f>
        <v>-102.25573694</v>
      </c>
      <c r="L310" t="s">
        <v>43</v>
      </c>
      <c r="Q310">
        <v>5500</v>
      </c>
      <c r="R310" t="s">
        <v>44</v>
      </c>
      <c r="AA310" t="s">
        <v>152</v>
      </c>
      <c r="AB310" t="str">
        <f>"08"</f>
        <v>08</v>
      </c>
      <c r="AC310" t="str">
        <f>"048524"</f>
        <v>048524</v>
      </c>
      <c r="AD310">
        <v>844118</v>
      </c>
      <c r="AE310" t="s">
        <v>209</v>
      </c>
      <c r="AF310" t="s">
        <v>262</v>
      </c>
      <c r="AG310" t="s">
        <v>56</v>
      </c>
      <c r="AH310" t="s">
        <v>278</v>
      </c>
      <c r="AI310" s="7" t="str">
        <f t="shared" si="31"/>
        <v>37130278_08_   2 H_2</v>
      </c>
      <c r="AJ310" t="s">
        <v>51</v>
      </c>
      <c r="AK310" t="s">
        <v>52</v>
      </c>
      <c r="AL310" s="1">
        <v>34808</v>
      </c>
      <c r="AM310">
        <v>5500</v>
      </c>
    </row>
    <row r="311" spans="1:39" x14ac:dyDescent="0.35">
      <c r="A311" s="3">
        <v>37130278</v>
      </c>
      <c r="B311" s="3" t="str">
        <f t="shared" si="32"/>
        <v>7C-   2 J-2</v>
      </c>
      <c r="C311">
        <v>2</v>
      </c>
      <c r="D311" t="s">
        <v>277</v>
      </c>
      <c r="E311">
        <v>8</v>
      </c>
      <c r="F311">
        <v>15</v>
      </c>
      <c r="G311" t="s">
        <v>40</v>
      </c>
      <c r="H311">
        <v>31.032422199999999</v>
      </c>
      <c r="I311" t="str">
        <f>"-102.2553227"</f>
        <v>-102.2553227</v>
      </c>
      <c r="J311">
        <v>31.032573240000001</v>
      </c>
      <c r="K311" t="str">
        <f>"-102.25573694"</f>
        <v>-102.25573694</v>
      </c>
      <c r="L311" t="s">
        <v>43</v>
      </c>
      <c r="Q311">
        <v>5500</v>
      </c>
      <c r="R311" t="s">
        <v>44</v>
      </c>
      <c r="AA311" t="s">
        <v>45</v>
      </c>
      <c r="AB311" t="s">
        <v>46</v>
      </c>
      <c r="AC311" t="str">
        <f>"05785"</f>
        <v>05785</v>
      </c>
      <c r="AD311">
        <v>844110</v>
      </c>
      <c r="AE311" t="s">
        <v>147</v>
      </c>
      <c r="AG311" t="s">
        <v>242</v>
      </c>
      <c r="AH311" t="s">
        <v>279</v>
      </c>
      <c r="AI311" s="7" t="str">
        <f t="shared" si="31"/>
        <v>37130278_7C_   2 J_2</v>
      </c>
      <c r="AJ311" t="s">
        <v>51</v>
      </c>
      <c r="AK311" t="s">
        <v>52</v>
      </c>
      <c r="AL311" s="1">
        <v>34808</v>
      </c>
      <c r="AM311">
        <v>5500</v>
      </c>
    </row>
    <row r="312" spans="1:39" x14ac:dyDescent="0.35">
      <c r="A312" s="3">
        <v>37130278</v>
      </c>
      <c r="B312" s="3" t="str">
        <f t="shared" si="32"/>
        <v>08-   2 J-2</v>
      </c>
      <c r="C312">
        <v>2</v>
      </c>
      <c r="D312" t="s">
        <v>277</v>
      </c>
      <c r="E312">
        <v>8</v>
      </c>
      <c r="F312">
        <v>15</v>
      </c>
      <c r="G312" t="s">
        <v>40</v>
      </c>
      <c r="H312">
        <v>31.032422199999999</v>
      </c>
      <c r="I312" t="str">
        <f>"-102.2553227"</f>
        <v>-102.2553227</v>
      </c>
      <c r="J312">
        <v>31.032573240000001</v>
      </c>
      <c r="K312" t="str">
        <f>"-102.25573694"</f>
        <v>-102.25573694</v>
      </c>
      <c r="L312" t="s">
        <v>43</v>
      </c>
      <c r="Q312">
        <v>5500</v>
      </c>
      <c r="R312" t="s">
        <v>44</v>
      </c>
      <c r="AA312" t="s">
        <v>45</v>
      </c>
      <c r="AB312" t="str">
        <f>"08"</f>
        <v>08</v>
      </c>
      <c r="AC312">
        <v>21832</v>
      </c>
      <c r="AD312">
        <v>844118</v>
      </c>
      <c r="AE312" t="s">
        <v>209</v>
      </c>
      <c r="AF312" t="s">
        <v>262</v>
      </c>
      <c r="AG312" t="s">
        <v>242</v>
      </c>
      <c r="AH312" t="s">
        <v>279</v>
      </c>
      <c r="AI312" s="7" t="str">
        <f t="shared" si="31"/>
        <v>37130278_08_   2 J_2</v>
      </c>
      <c r="AJ312" t="s">
        <v>51</v>
      </c>
      <c r="AK312" t="s">
        <v>52</v>
      </c>
      <c r="AL312" s="1">
        <v>34808</v>
      </c>
      <c r="AM312">
        <v>5500</v>
      </c>
    </row>
    <row r="313" spans="1:39" x14ac:dyDescent="0.35">
      <c r="A313" s="3">
        <v>37130294</v>
      </c>
      <c r="B313" s="3" t="str">
        <f t="shared" si="32"/>
        <v>7C-3-3</v>
      </c>
      <c r="C313">
        <v>3</v>
      </c>
      <c r="D313" t="s">
        <v>41</v>
      </c>
      <c r="E313">
        <v>7</v>
      </c>
      <c r="F313">
        <v>40</v>
      </c>
      <c r="G313" t="s">
        <v>203</v>
      </c>
      <c r="H313">
        <v>31.0305818</v>
      </c>
      <c r="I313" t="str">
        <f>"-102.2477312"</f>
        <v>-102.2477312</v>
      </c>
      <c r="J313">
        <v>31.030732960000002</v>
      </c>
      <c r="K313" t="str">
        <f>"-102.24814521"</f>
        <v>-102.24814521</v>
      </c>
      <c r="L313" t="s">
        <v>43</v>
      </c>
      <c r="M313">
        <v>489911</v>
      </c>
      <c r="N313">
        <v>341516</v>
      </c>
      <c r="O313" t="s">
        <v>246</v>
      </c>
      <c r="P313" t="s">
        <v>250</v>
      </c>
      <c r="Q313">
        <v>5275</v>
      </c>
      <c r="R313" t="s">
        <v>44</v>
      </c>
      <c r="S313">
        <v>5610</v>
      </c>
      <c r="T313" t="s">
        <v>251</v>
      </c>
      <c r="U313">
        <v>12</v>
      </c>
      <c r="V313">
        <v>10</v>
      </c>
      <c r="W313">
        <v>7086</v>
      </c>
      <c r="X313" t="s">
        <v>189</v>
      </c>
      <c r="Y313">
        <v>467</v>
      </c>
      <c r="Z313" t="s">
        <v>254</v>
      </c>
      <c r="AA313" t="s">
        <v>45</v>
      </c>
      <c r="AB313" t="s">
        <v>46</v>
      </c>
      <c r="AC313" t="str">
        <f>"05826"</f>
        <v>05826</v>
      </c>
      <c r="AD313">
        <v>844110</v>
      </c>
      <c r="AE313" t="s">
        <v>147</v>
      </c>
      <c r="AF313" t="s">
        <v>247</v>
      </c>
      <c r="AG313" t="s">
        <v>145</v>
      </c>
      <c r="AH313">
        <v>3</v>
      </c>
      <c r="AI313" s="7" t="str">
        <f t="shared" si="31"/>
        <v>37130294_7C_3_3</v>
      </c>
      <c r="AJ313" t="s">
        <v>51</v>
      </c>
      <c r="AK313" t="s">
        <v>52</v>
      </c>
      <c r="AL313" s="1">
        <v>36857</v>
      </c>
      <c r="AM313">
        <v>5274</v>
      </c>
    </row>
    <row r="314" spans="1:39" x14ac:dyDescent="0.35">
      <c r="A314" s="3">
        <v>37130294</v>
      </c>
      <c r="B314" s="3" t="str">
        <f t="shared" si="32"/>
        <v>08-3-3</v>
      </c>
      <c r="C314">
        <v>3</v>
      </c>
      <c r="D314" t="s">
        <v>41</v>
      </c>
      <c r="E314">
        <v>7</v>
      </c>
      <c r="F314">
        <v>40</v>
      </c>
      <c r="G314" t="s">
        <v>203</v>
      </c>
      <c r="H314">
        <v>31.0305818</v>
      </c>
      <c r="I314" t="str">
        <f>"-102.2477312"</f>
        <v>-102.2477312</v>
      </c>
      <c r="J314">
        <v>31.030732960000002</v>
      </c>
      <c r="K314" t="str">
        <f>"-102.24814521"</f>
        <v>-102.24814521</v>
      </c>
      <c r="L314" t="s">
        <v>43</v>
      </c>
      <c r="M314">
        <v>489911</v>
      </c>
      <c r="N314">
        <v>341516</v>
      </c>
      <c r="O314" t="s">
        <v>246</v>
      </c>
      <c r="P314" t="s">
        <v>250</v>
      </c>
      <c r="Q314">
        <v>5275</v>
      </c>
      <c r="R314" t="s">
        <v>44</v>
      </c>
      <c r="S314">
        <v>5610</v>
      </c>
      <c r="T314" t="s">
        <v>251</v>
      </c>
      <c r="U314">
        <v>12</v>
      </c>
      <c r="V314">
        <v>10</v>
      </c>
      <c r="W314">
        <v>7086</v>
      </c>
      <c r="X314" t="s">
        <v>189</v>
      </c>
      <c r="Y314">
        <v>467</v>
      </c>
      <c r="Z314" t="s">
        <v>254</v>
      </c>
      <c r="AA314" t="s">
        <v>45</v>
      </c>
      <c r="AB314" t="str">
        <f t="shared" ref="AB314:AB323" si="36">"08"</f>
        <v>08</v>
      </c>
      <c r="AC314">
        <v>22227</v>
      </c>
      <c r="AD314">
        <v>844110</v>
      </c>
      <c r="AE314" t="s">
        <v>147</v>
      </c>
      <c r="AF314" t="s">
        <v>280</v>
      </c>
      <c r="AG314" t="s">
        <v>269</v>
      </c>
      <c r="AH314">
        <v>3</v>
      </c>
      <c r="AI314" s="7" t="str">
        <f t="shared" si="31"/>
        <v>37130294_08_3_3</v>
      </c>
      <c r="AJ314" t="s">
        <v>51</v>
      </c>
      <c r="AK314" t="s">
        <v>52</v>
      </c>
      <c r="AL314" s="1">
        <v>36857</v>
      </c>
      <c r="AM314">
        <v>5274</v>
      </c>
    </row>
    <row r="315" spans="1:39" x14ac:dyDescent="0.35">
      <c r="A315" s="3">
        <v>37130328</v>
      </c>
      <c r="B315" s="3" t="str">
        <f t="shared" si="32"/>
        <v>08-   1 L-1</v>
      </c>
      <c r="C315">
        <v>1</v>
      </c>
      <c r="D315" t="s">
        <v>237</v>
      </c>
      <c r="E315">
        <v>6</v>
      </c>
      <c r="F315">
        <v>40</v>
      </c>
      <c r="G315" t="s">
        <v>203</v>
      </c>
      <c r="H315">
        <v>31.023064000000002</v>
      </c>
      <c r="I315" t="str">
        <f t="shared" ref="I315:I320" si="37">"-102.2446627"</f>
        <v>-102.2446627</v>
      </c>
      <c r="J315">
        <v>31.02321542</v>
      </c>
      <c r="K315" t="str">
        <f t="shared" ref="K315:K320" si="38">"-102.24507654"</f>
        <v>-102.24507654</v>
      </c>
      <c r="L315" t="s">
        <v>65</v>
      </c>
      <c r="M315">
        <v>373107</v>
      </c>
      <c r="N315">
        <v>621750</v>
      </c>
      <c r="O315" t="s">
        <v>233</v>
      </c>
      <c r="P315" t="s">
        <v>281</v>
      </c>
      <c r="Q315">
        <v>5390</v>
      </c>
      <c r="R315" t="s">
        <v>44</v>
      </c>
      <c r="S315">
        <v>5610</v>
      </c>
      <c r="T315" t="s">
        <v>282</v>
      </c>
      <c r="U315">
        <v>12</v>
      </c>
      <c r="V315">
        <v>10</v>
      </c>
      <c r="W315">
        <v>4668</v>
      </c>
      <c r="X315" t="s">
        <v>225</v>
      </c>
      <c r="Y315">
        <v>660</v>
      </c>
      <c r="Z315" t="s">
        <v>171</v>
      </c>
      <c r="AA315" t="s">
        <v>152</v>
      </c>
      <c r="AB315" t="str">
        <f t="shared" si="36"/>
        <v>08</v>
      </c>
      <c r="AC315" t="str">
        <f>"048480"</f>
        <v>048480</v>
      </c>
      <c r="AD315">
        <v>621750</v>
      </c>
      <c r="AE315" t="s">
        <v>233</v>
      </c>
      <c r="AF315" t="s">
        <v>283</v>
      </c>
      <c r="AG315" t="s">
        <v>145</v>
      </c>
      <c r="AH315" t="s">
        <v>258</v>
      </c>
      <c r="AI315" s="7" t="str">
        <f t="shared" si="31"/>
        <v>37130328_08_   1 L_1</v>
      </c>
      <c r="AJ315" t="s">
        <v>51</v>
      </c>
      <c r="AK315" t="s">
        <v>52</v>
      </c>
    </row>
    <row r="316" spans="1:39" x14ac:dyDescent="0.35">
      <c r="A316" s="3">
        <v>37130328</v>
      </c>
      <c r="B316" s="3" t="str">
        <f t="shared" si="32"/>
        <v>08-   1 U-1</v>
      </c>
      <c r="C316">
        <v>1</v>
      </c>
      <c r="D316" t="s">
        <v>237</v>
      </c>
      <c r="E316">
        <v>6</v>
      </c>
      <c r="F316">
        <v>40</v>
      </c>
      <c r="G316" t="s">
        <v>203</v>
      </c>
      <c r="H316">
        <v>31.023064000000002</v>
      </c>
      <c r="I316" t="str">
        <f t="shared" si="37"/>
        <v>-102.2446627</v>
      </c>
      <c r="J316">
        <v>31.02321542</v>
      </c>
      <c r="K316" t="str">
        <f t="shared" si="38"/>
        <v>-102.24507654</v>
      </c>
      <c r="L316" t="s">
        <v>65</v>
      </c>
      <c r="M316">
        <v>373107</v>
      </c>
      <c r="N316">
        <v>621750</v>
      </c>
      <c r="O316" t="s">
        <v>233</v>
      </c>
      <c r="P316" t="s">
        <v>281</v>
      </c>
      <c r="Q316">
        <v>5390</v>
      </c>
      <c r="R316" t="s">
        <v>44</v>
      </c>
      <c r="S316">
        <v>5610</v>
      </c>
      <c r="T316" t="s">
        <v>282</v>
      </c>
      <c r="U316">
        <v>12</v>
      </c>
      <c r="V316">
        <v>10</v>
      </c>
      <c r="W316">
        <v>4668</v>
      </c>
      <c r="X316" t="s">
        <v>225</v>
      </c>
      <c r="Y316">
        <v>660</v>
      </c>
      <c r="Z316" t="s">
        <v>171</v>
      </c>
      <c r="AA316" t="s">
        <v>152</v>
      </c>
      <c r="AB316" t="str">
        <f t="shared" si="36"/>
        <v>08</v>
      </c>
      <c r="AC316" t="str">
        <f>"048481"</f>
        <v>048481</v>
      </c>
      <c r="AD316">
        <v>621750</v>
      </c>
      <c r="AE316" t="s">
        <v>233</v>
      </c>
      <c r="AF316" t="s">
        <v>284</v>
      </c>
      <c r="AG316" t="s">
        <v>276</v>
      </c>
      <c r="AH316" t="s">
        <v>259</v>
      </c>
      <c r="AI316" s="7" t="str">
        <f t="shared" si="31"/>
        <v>37130328_08_   1 U_1</v>
      </c>
      <c r="AJ316" t="s">
        <v>72</v>
      </c>
      <c r="AK316" t="s">
        <v>73</v>
      </c>
    </row>
    <row r="317" spans="1:39" x14ac:dyDescent="0.35">
      <c r="A317" s="3">
        <v>37130328</v>
      </c>
      <c r="B317" s="3" t="str">
        <f t="shared" si="32"/>
        <v>08-   1 L-1</v>
      </c>
      <c r="C317">
        <v>1</v>
      </c>
      <c r="D317" t="s">
        <v>237</v>
      </c>
      <c r="E317">
        <v>6</v>
      </c>
      <c r="F317">
        <v>40</v>
      </c>
      <c r="G317" t="s">
        <v>203</v>
      </c>
      <c r="H317">
        <v>31.023064000000002</v>
      </c>
      <c r="I317" t="str">
        <f t="shared" si="37"/>
        <v>-102.2446627</v>
      </c>
      <c r="J317">
        <v>31.02321542</v>
      </c>
      <c r="K317" t="str">
        <f t="shared" si="38"/>
        <v>-102.24507654</v>
      </c>
      <c r="L317" t="s">
        <v>65</v>
      </c>
      <c r="M317">
        <v>373107</v>
      </c>
      <c r="N317">
        <v>621750</v>
      </c>
      <c r="O317" t="s">
        <v>233</v>
      </c>
      <c r="P317" t="s">
        <v>281</v>
      </c>
      <c r="Q317">
        <v>5390</v>
      </c>
      <c r="R317" t="s">
        <v>44</v>
      </c>
      <c r="S317">
        <v>5610</v>
      </c>
      <c r="T317" t="s">
        <v>282</v>
      </c>
      <c r="U317">
        <v>12</v>
      </c>
      <c r="V317">
        <v>10</v>
      </c>
      <c r="W317">
        <v>4668</v>
      </c>
      <c r="X317" t="s">
        <v>225</v>
      </c>
      <c r="Y317">
        <v>660</v>
      </c>
      <c r="Z317" t="s">
        <v>171</v>
      </c>
      <c r="AA317" t="s">
        <v>152</v>
      </c>
      <c r="AB317" t="str">
        <f t="shared" si="36"/>
        <v>08</v>
      </c>
      <c r="AC317">
        <v>135051</v>
      </c>
      <c r="AD317">
        <v>621750</v>
      </c>
      <c r="AE317" t="s">
        <v>233</v>
      </c>
      <c r="AF317" t="s">
        <v>281</v>
      </c>
      <c r="AG317" t="s">
        <v>56</v>
      </c>
      <c r="AH317" t="s">
        <v>258</v>
      </c>
      <c r="AI317" s="7" t="str">
        <f t="shared" si="31"/>
        <v>37130328_08_   1 L_1</v>
      </c>
      <c r="AJ317" t="s">
        <v>51</v>
      </c>
      <c r="AK317" t="s">
        <v>52</v>
      </c>
    </row>
    <row r="318" spans="1:39" x14ac:dyDescent="0.35">
      <c r="A318" s="3">
        <v>37130328</v>
      </c>
      <c r="B318" s="3" t="str">
        <f t="shared" si="32"/>
        <v>08-   1 T-1</v>
      </c>
      <c r="C318">
        <v>1</v>
      </c>
      <c r="D318" t="s">
        <v>237</v>
      </c>
      <c r="E318">
        <v>6</v>
      </c>
      <c r="F318">
        <v>40</v>
      </c>
      <c r="G318" t="s">
        <v>203</v>
      </c>
      <c r="H318">
        <v>31.023064000000002</v>
      </c>
      <c r="I318" t="str">
        <f t="shared" si="37"/>
        <v>-102.2446627</v>
      </c>
      <c r="J318">
        <v>31.02321542</v>
      </c>
      <c r="K318" t="str">
        <f t="shared" si="38"/>
        <v>-102.24507654</v>
      </c>
      <c r="L318" t="s">
        <v>65</v>
      </c>
      <c r="M318">
        <v>373107</v>
      </c>
      <c r="N318">
        <v>621750</v>
      </c>
      <c r="O318" t="s">
        <v>233</v>
      </c>
      <c r="P318" t="s">
        <v>281</v>
      </c>
      <c r="Q318">
        <v>5390</v>
      </c>
      <c r="R318" t="s">
        <v>44</v>
      </c>
      <c r="S318">
        <v>5610</v>
      </c>
      <c r="T318" t="s">
        <v>282</v>
      </c>
      <c r="U318">
        <v>12</v>
      </c>
      <c r="V318">
        <v>10</v>
      </c>
      <c r="W318">
        <v>4668</v>
      </c>
      <c r="X318" t="s">
        <v>225</v>
      </c>
      <c r="Y318">
        <v>660</v>
      </c>
      <c r="Z318" t="s">
        <v>171</v>
      </c>
      <c r="AA318" t="s">
        <v>152</v>
      </c>
      <c r="AB318" t="str">
        <f t="shared" si="36"/>
        <v>08</v>
      </c>
      <c r="AC318">
        <v>152028</v>
      </c>
      <c r="AD318">
        <v>621750</v>
      </c>
      <c r="AE318" t="s">
        <v>233</v>
      </c>
      <c r="AF318" t="s">
        <v>281</v>
      </c>
      <c r="AG318" t="s">
        <v>56</v>
      </c>
      <c r="AH318" t="s">
        <v>50</v>
      </c>
      <c r="AI318" s="7" t="str">
        <f t="shared" si="31"/>
        <v>37130328_08_   1 T_1</v>
      </c>
      <c r="AJ318" t="s">
        <v>72</v>
      </c>
      <c r="AK318" t="s">
        <v>73</v>
      </c>
    </row>
    <row r="319" spans="1:39" x14ac:dyDescent="0.35">
      <c r="A319" s="3">
        <v>37130328</v>
      </c>
      <c r="B319" s="3" t="str">
        <f t="shared" si="32"/>
        <v>08-1-1</v>
      </c>
      <c r="C319">
        <v>1</v>
      </c>
      <c r="D319" t="s">
        <v>237</v>
      </c>
      <c r="E319">
        <v>6</v>
      </c>
      <c r="F319">
        <v>40</v>
      </c>
      <c r="G319" t="s">
        <v>203</v>
      </c>
      <c r="H319">
        <v>31.023064000000002</v>
      </c>
      <c r="I319" t="str">
        <f t="shared" si="37"/>
        <v>-102.2446627</v>
      </c>
      <c r="J319">
        <v>31.02321542</v>
      </c>
      <c r="K319" t="str">
        <f t="shared" si="38"/>
        <v>-102.24507654</v>
      </c>
      <c r="L319" t="s">
        <v>65</v>
      </c>
      <c r="M319">
        <v>373107</v>
      </c>
      <c r="N319">
        <v>621750</v>
      </c>
      <c r="O319" t="s">
        <v>233</v>
      </c>
      <c r="P319" t="s">
        <v>281</v>
      </c>
      <c r="Q319">
        <v>5390</v>
      </c>
      <c r="R319" t="s">
        <v>44</v>
      </c>
      <c r="S319">
        <v>5610</v>
      </c>
      <c r="T319" t="s">
        <v>282</v>
      </c>
      <c r="U319">
        <v>12</v>
      </c>
      <c r="V319">
        <v>10</v>
      </c>
      <c r="W319">
        <v>4668</v>
      </c>
      <c r="X319" t="s">
        <v>225</v>
      </c>
      <c r="Y319">
        <v>660</v>
      </c>
      <c r="Z319" t="s">
        <v>171</v>
      </c>
      <c r="AA319" t="s">
        <v>45</v>
      </c>
      <c r="AB319" t="str">
        <f t="shared" si="36"/>
        <v>08</v>
      </c>
      <c r="AC319">
        <v>32859</v>
      </c>
      <c r="AD319">
        <v>621750</v>
      </c>
      <c r="AE319" t="s">
        <v>233</v>
      </c>
      <c r="AF319" t="s">
        <v>281</v>
      </c>
      <c r="AG319" t="s">
        <v>56</v>
      </c>
      <c r="AH319">
        <v>1</v>
      </c>
      <c r="AI319" s="7" t="str">
        <f t="shared" si="31"/>
        <v>37130328_08_1_1</v>
      </c>
      <c r="AJ319" t="s">
        <v>51</v>
      </c>
      <c r="AK319" t="s">
        <v>52</v>
      </c>
    </row>
    <row r="320" spans="1:39" x14ac:dyDescent="0.35">
      <c r="A320" s="3">
        <v>37130328</v>
      </c>
      <c r="B320" s="3" t="str">
        <f t="shared" si="32"/>
        <v>08-   1 T-1</v>
      </c>
      <c r="C320">
        <v>1</v>
      </c>
      <c r="D320" t="s">
        <v>237</v>
      </c>
      <c r="E320">
        <v>6</v>
      </c>
      <c r="F320">
        <v>40</v>
      </c>
      <c r="G320" t="s">
        <v>203</v>
      </c>
      <c r="H320">
        <v>31.023064000000002</v>
      </c>
      <c r="I320" t="str">
        <f t="shared" si="37"/>
        <v>-102.2446627</v>
      </c>
      <c r="J320">
        <v>31.02321542</v>
      </c>
      <c r="K320" t="str">
        <f t="shared" si="38"/>
        <v>-102.24507654</v>
      </c>
      <c r="L320" t="s">
        <v>65</v>
      </c>
      <c r="M320">
        <v>373107</v>
      </c>
      <c r="N320">
        <v>621750</v>
      </c>
      <c r="O320" t="s">
        <v>233</v>
      </c>
      <c r="P320" t="s">
        <v>281</v>
      </c>
      <c r="Q320">
        <v>5390</v>
      </c>
      <c r="R320" t="s">
        <v>44</v>
      </c>
      <c r="S320">
        <v>5610</v>
      </c>
      <c r="T320" t="s">
        <v>282</v>
      </c>
      <c r="U320">
        <v>12</v>
      </c>
      <c r="V320">
        <v>10</v>
      </c>
      <c r="W320">
        <v>4668</v>
      </c>
      <c r="X320" t="s">
        <v>225</v>
      </c>
      <c r="Y320">
        <v>660</v>
      </c>
      <c r="Z320" t="s">
        <v>171</v>
      </c>
      <c r="AA320" t="s">
        <v>45</v>
      </c>
      <c r="AB320" t="str">
        <f t="shared" si="36"/>
        <v>08</v>
      </c>
      <c r="AC320">
        <v>32859</v>
      </c>
      <c r="AD320">
        <v>621750</v>
      </c>
      <c r="AE320" t="s">
        <v>233</v>
      </c>
      <c r="AF320" t="s">
        <v>281</v>
      </c>
      <c r="AG320" t="s">
        <v>56</v>
      </c>
      <c r="AH320" t="s">
        <v>50</v>
      </c>
      <c r="AI320" s="7" t="str">
        <f t="shared" si="31"/>
        <v>37130328_08_   1 T_1</v>
      </c>
      <c r="AJ320" t="s">
        <v>51</v>
      </c>
      <c r="AK320" t="s">
        <v>52</v>
      </c>
    </row>
    <row r="321" spans="1:39" x14ac:dyDescent="0.35">
      <c r="A321" s="3">
        <v>37130377</v>
      </c>
      <c r="B321" s="3" t="str">
        <f t="shared" si="32"/>
        <v>08-1-1</v>
      </c>
      <c r="C321">
        <v>1</v>
      </c>
      <c r="D321" t="s">
        <v>277</v>
      </c>
      <c r="E321">
        <v>8</v>
      </c>
      <c r="F321">
        <v>40</v>
      </c>
      <c r="G321" t="s">
        <v>203</v>
      </c>
      <c r="H321">
        <v>31.021582500000001</v>
      </c>
      <c r="I321" t="str">
        <f>"-102.2706467"</f>
        <v>-102.2706467</v>
      </c>
      <c r="J321">
        <v>31.021733780000002</v>
      </c>
      <c r="K321" t="str">
        <f>"-102.27106123"</f>
        <v>-102.27106123</v>
      </c>
      <c r="L321" t="s">
        <v>43</v>
      </c>
      <c r="M321">
        <v>430012</v>
      </c>
      <c r="N321">
        <v>37095</v>
      </c>
      <c r="O321" t="s">
        <v>285</v>
      </c>
      <c r="P321" t="s">
        <v>286</v>
      </c>
      <c r="Q321">
        <v>5700</v>
      </c>
      <c r="R321" t="s">
        <v>44</v>
      </c>
      <c r="S321">
        <v>292</v>
      </c>
      <c r="T321" t="s">
        <v>257</v>
      </c>
      <c r="U321">
        <v>12</v>
      </c>
      <c r="V321">
        <v>7</v>
      </c>
      <c r="W321">
        <v>660</v>
      </c>
      <c r="X321" t="s">
        <v>195</v>
      </c>
      <c r="Y321">
        <v>5940</v>
      </c>
      <c r="Z321" t="s">
        <v>189</v>
      </c>
      <c r="AA321" t="s">
        <v>152</v>
      </c>
      <c r="AB321" t="str">
        <f t="shared" si="36"/>
        <v>08</v>
      </c>
      <c r="AC321" t="str">
        <f>"049056"</f>
        <v>049056</v>
      </c>
      <c r="AD321">
        <v>875230</v>
      </c>
      <c r="AE321" t="s">
        <v>287</v>
      </c>
      <c r="AF321" t="s">
        <v>265</v>
      </c>
      <c r="AG321" t="s">
        <v>145</v>
      </c>
      <c r="AH321">
        <v>1</v>
      </c>
      <c r="AI321" s="7" t="str">
        <f t="shared" si="31"/>
        <v>37130377_08_1_1</v>
      </c>
      <c r="AJ321" t="s">
        <v>51</v>
      </c>
      <c r="AK321" t="s">
        <v>52</v>
      </c>
      <c r="AL321" s="1">
        <v>35038</v>
      </c>
      <c r="AM321">
        <v>4664</v>
      </c>
    </row>
    <row r="322" spans="1:39" x14ac:dyDescent="0.35">
      <c r="A322" s="3">
        <v>37130382</v>
      </c>
      <c r="B322" s="3" t="str">
        <f t="shared" si="32"/>
        <v>08-   3 U-3</v>
      </c>
      <c r="C322">
        <v>3</v>
      </c>
      <c r="D322" t="s">
        <v>151</v>
      </c>
      <c r="E322">
        <v>10</v>
      </c>
      <c r="F322">
        <v>40</v>
      </c>
      <c r="G322" t="s">
        <v>203</v>
      </c>
      <c r="H322">
        <v>31.0323955</v>
      </c>
      <c r="I322" t="str">
        <f>"-102.2595763"</f>
        <v>-102.2595763</v>
      </c>
      <c r="J322">
        <v>31.03254652</v>
      </c>
      <c r="K322" t="str">
        <f>"-102.25999066"</f>
        <v>-102.25999066</v>
      </c>
      <c r="L322" t="s">
        <v>43</v>
      </c>
      <c r="M322">
        <v>445637</v>
      </c>
      <c r="N322">
        <v>37095</v>
      </c>
      <c r="O322" t="s">
        <v>285</v>
      </c>
      <c r="P322" t="s">
        <v>288</v>
      </c>
      <c r="Q322">
        <v>5388</v>
      </c>
      <c r="R322" t="s">
        <v>44</v>
      </c>
      <c r="S322">
        <v>5614</v>
      </c>
      <c r="T322" t="s">
        <v>289</v>
      </c>
      <c r="U322">
        <v>12</v>
      </c>
      <c r="V322">
        <v>8</v>
      </c>
      <c r="W322">
        <v>660</v>
      </c>
      <c r="X322" t="s">
        <v>195</v>
      </c>
      <c r="Y322">
        <v>8940</v>
      </c>
      <c r="Z322" t="s">
        <v>189</v>
      </c>
      <c r="AA322" t="s">
        <v>152</v>
      </c>
      <c r="AB322" t="str">
        <f t="shared" si="36"/>
        <v>08</v>
      </c>
      <c r="AC322" t="str">
        <f>"049176"</f>
        <v>049176</v>
      </c>
      <c r="AD322" t="str">
        <f>"015726"</f>
        <v>015726</v>
      </c>
      <c r="AE322" t="s">
        <v>205</v>
      </c>
      <c r="AF322" t="s">
        <v>239</v>
      </c>
      <c r="AG322" t="s">
        <v>276</v>
      </c>
      <c r="AH322" t="s">
        <v>290</v>
      </c>
      <c r="AI322" s="7" t="str">
        <f t="shared" ref="AI322:AI385" si="39">A322&amp;"_"&amp;AB322&amp;"_"&amp;AH322&amp;"_"&amp;C322</f>
        <v>37130382_08_   3 U_3</v>
      </c>
      <c r="AJ322" t="s">
        <v>51</v>
      </c>
      <c r="AK322" t="s">
        <v>52</v>
      </c>
      <c r="AL322" s="1">
        <v>41431</v>
      </c>
      <c r="AM322">
        <v>5388</v>
      </c>
    </row>
    <row r="323" spans="1:39" x14ac:dyDescent="0.35">
      <c r="A323" s="3">
        <v>37130382</v>
      </c>
      <c r="B323" s="3" t="str">
        <f t="shared" ref="B323:B386" si="40">AB323&amp;"-"&amp;AH323&amp;"-"&amp;C323</f>
        <v>08-3-3</v>
      </c>
      <c r="C323">
        <v>3</v>
      </c>
      <c r="D323" t="s">
        <v>151</v>
      </c>
      <c r="E323">
        <v>10</v>
      </c>
      <c r="F323">
        <v>40</v>
      </c>
      <c r="G323" t="s">
        <v>203</v>
      </c>
      <c r="H323">
        <v>31.0323955</v>
      </c>
      <c r="I323" t="str">
        <f>"-102.2595763"</f>
        <v>-102.2595763</v>
      </c>
      <c r="J323">
        <v>31.03254652</v>
      </c>
      <c r="K323" t="str">
        <f>"-102.25999066"</f>
        <v>-102.25999066</v>
      </c>
      <c r="L323" t="s">
        <v>43</v>
      </c>
      <c r="M323">
        <v>445637</v>
      </c>
      <c r="N323">
        <v>37095</v>
      </c>
      <c r="O323" t="s">
        <v>285</v>
      </c>
      <c r="P323" t="s">
        <v>288</v>
      </c>
      <c r="Q323">
        <v>5388</v>
      </c>
      <c r="R323" t="s">
        <v>44</v>
      </c>
      <c r="S323">
        <v>5614</v>
      </c>
      <c r="T323" t="s">
        <v>289</v>
      </c>
      <c r="U323">
        <v>12</v>
      </c>
      <c r="V323">
        <v>8</v>
      </c>
      <c r="W323">
        <v>660</v>
      </c>
      <c r="X323" t="s">
        <v>195</v>
      </c>
      <c r="Y323">
        <v>8940</v>
      </c>
      <c r="Z323" t="s">
        <v>189</v>
      </c>
      <c r="AA323" t="s">
        <v>152</v>
      </c>
      <c r="AB323" t="str">
        <f t="shared" si="36"/>
        <v>08</v>
      </c>
      <c r="AC323" t="str">
        <f>"075758"</f>
        <v>075758</v>
      </c>
      <c r="AD323" t="str">
        <f>"037095"</f>
        <v>037095</v>
      </c>
      <c r="AE323" t="s">
        <v>285</v>
      </c>
      <c r="AF323" t="s">
        <v>239</v>
      </c>
      <c r="AG323" t="s">
        <v>56</v>
      </c>
      <c r="AH323">
        <v>3</v>
      </c>
      <c r="AI323" s="7" t="str">
        <f t="shared" si="39"/>
        <v>37130382_08_3_3</v>
      </c>
      <c r="AJ323" t="s">
        <v>51</v>
      </c>
      <c r="AK323" t="s">
        <v>52</v>
      </c>
      <c r="AL323" s="1">
        <v>41431</v>
      </c>
      <c r="AM323">
        <v>5388</v>
      </c>
    </row>
    <row r="324" spans="1:39" x14ac:dyDescent="0.35">
      <c r="A324" s="3">
        <v>37130382</v>
      </c>
      <c r="B324" s="3" t="str">
        <f t="shared" si="40"/>
        <v>7C-1-3</v>
      </c>
      <c r="C324">
        <v>3</v>
      </c>
      <c r="D324" t="s">
        <v>151</v>
      </c>
      <c r="E324">
        <v>10</v>
      </c>
      <c r="F324">
        <v>40</v>
      </c>
      <c r="G324" t="s">
        <v>203</v>
      </c>
      <c r="H324">
        <v>31.0323955</v>
      </c>
      <c r="I324" t="str">
        <f>"-102.2595763"</f>
        <v>-102.2595763</v>
      </c>
      <c r="J324">
        <v>31.03254652</v>
      </c>
      <c r="K324" t="str">
        <f>"-102.25999066"</f>
        <v>-102.25999066</v>
      </c>
      <c r="L324" t="s">
        <v>43</v>
      </c>
      <c r="M324">
        <v>445637</v>
      </c>
      <c r="N324">
        <v>37095</v>
      </c>
      <c r="O324" t="s">
        <v>285</v>
      </c>
      <c r="P324" t="s">
        <v>288</v>
      </c>
      <c r="Q324">
        <v>5388</v>
      </c>
      <c r="R324" t="s">
        <v>44</v>
      </c>
      <c r="S324">
        <v>5614</v>
      </c>
      <c r="T324" t="s">
        <v>289</v>
      </c>
      <c r="U324">
        <v>12</v>
      </c>
      <c r="V324">
        <v>8</v>
      </c>
      <c r="W324">
        <v>660</v>
      </c>
      <c r="X324" t="s">
        <v>195</v>
      </c>
      <c r="Y324">
        <v>8940</v>
      </c>
      <c r="Z324" t="s">
        <v>189</v>
      </c>
      <c r="AA324" t="s">
        <v>45</v>
      </c>
      <c r="AB324" t="s">
        <v>46</v>
      </c>
      <c r="AC324" t="str">
        <f>"03798"</f>
        <v>03798</v>
      </c>
      <c r="AD324">
        <v>773840</v>
      </c>
      <c r="AE324" t="s">
        <v>79</v>
      </c>
      <c r="AF324" t="s">
        <v>239</v>
      </c>
      <c r="AG324" t="s">
        <v>53</v>
      </c>
      <c r="AH324">
        <v>1</v>
      </c>
      <c r="AI324" s="7" t="str">
        <f t="shared" si="39"/>
        <v>37130382_7C_1_3</v>
      </c>
      <c r="AJ324" t="s">
        <v>51</v>
      </c>
      <c r="AK324" t="s">
        <v>52</v>
      </c>
      <c r="AL324" s="1">
        <v>41431</v>
      </c>
      <c r="AM324">
        <v>5388</v>
      </c>
    </row>
    <row r="325" spans="1:39" x14ac:dyDescent="0.35">
      <c r="A325" s="3">
        <v>37130382</v>
      </c>
      <c r="B325" s="3" t="str">
        <f t="shared" si="40"/>
        <v>7C-3-3</v>
      </c>
      <c r="C325">
        <v>3</v>
      </c>
      <c r="D325" t="s">
        <v>151</v>
      </c>
      <c r="E325">
        <v>10</v>
      </c>
      <c r="F325">
        <v>40</v>
      </c>
      <c r="G325" t="s">
        <v>203</v>
      </c>
      <c r="H325">
        <v>31.0323955</v>
      </c>
      <c r="I325" t="str">
        <f>"-102.2595763"</f>
        <v>-102.2595763</v>
      </c>
      <c r="J325">
        <v>31.03254652</v>
      </c>
      <c r="K325" t="str">
        <f>"-102.25999066"</f>
        <v>-102.25999066</v>
      </c>
      <c r="L325" t="s">
        <v>43</v>
      </c>
      <c r="M325">
        <v>445637</v>
      </c>
      <c r="N325">
        <v>37095</v>
      </c>
      <c r="O325" t="s">
        <v>285</v>
      </c>
      <c r="P325" t="s">
        <v>288</v>
      </c>
      <c r="Q325">
        <v>5388</v>
      </c>
      <c r="R325" t="s">
        <v>44</v>
      </c>
      <c r="S325">
        <v>5614</v>
      </c>
      <c r="T325" t="s">
        <v>289</v>
      </c>
      <c r="U325">
        <v>12</v>
      </c>
      <c r="V325">
        <v>8</v>
      </c>
      <c r="W325">
        <v>660</v>
      </c>
      <c r="X325" t="s">
        <v>195</v>
      </c>
      <c r="Y325">
        <v>8940</v>
      </c>
      <c r="Z325" t="s">
        <v>189</v>
      </c>
      <c r="AA325" t="s">
        <v>45</v>
      </c>
      <c r="AB325" t="s">
        <v>46</v>
      </c>
      <c r="AC325" t="str">
        <f>"04892"</f>
        <v>04892</v>
      </c>
      <c r="AD325">
        <v>773840</v>
      </c>
      <c r="AE325" t="s">
        <v>79</v>
      </c>
      <c r="AF325" t="s">
        <v>239</v>
      </c>
      <c r="AG325" t="s">
        <v>242</v>
      </c>
      <c r="AH325">
        <v>3</v>
      </c>
      <c r="AI325" s="7" t="str">
        <f t="shared" si="39"/>
        <v>37130382_7C_3_3</v>
      </c>
      <c r="AJ325" t="s">
        <v>51</v>
      </c>
      <c r="AK325" t="s">
        <v>52</v>
      </c>
      <c r="AL325" s="1">
        <v>41431</v>
      </c>
      <c r="AM325">
        <v>5388</v>
      </c>
    </row>
    <row r="326" spans="1:39" x14ac:dyDescent="0.35">
      <c r="A326" s="3">
        <v>37130382</v>
      </c>
      <c r="B326" s="3" t="str">
        <f t="shared" si="40"/>
        <v>08-3-3</v>
      </c>
      <c r="C326">
        <v>3</v>
      </c>
      <c r="D326" t="s">
        <v>151</v>
      </c>
      <c r="E326">
        <v>10</v>
      </c>
      <c r="F326">
        <v>40</v>
      </c>
      <c r="G326" t="s">
        <v>203</v>
      </c>
      <c r="H326">
        <v>31.0323955</v>
      </c>
      <c r="I326" t="str">
        <f>"-102.2595763"</f>
        <v>-102.2595763</v>
      </c>
      <c r="J326">
        <v>31.03254652</v>
      </c>
      <c r="K326" t="str">
        <f>"-102.25999066"</f>
        <v>-102.25999066</v>
      </c>
      <c r="L326" t="s">
        <v>43</v>
      </c>
      <c r="M326">
        <v>445637</v>
      </c>
      <c r="N326">
        <v>37095</v>
      </c>
      <c r="O326" t="s">
        <v>285</v>
      </c>
      <c r="P326" t="s">
        <v>288</v>
      </c>
      <c r="Q326">
        <v>5388</v>
      </c>
      <c r="R326" t="s">
        <v>44</v>
      </c>
      <c r="S326">
        <v>5614</v>
      </c>
      <c r="T326" t="s">
        <v>289</v>
      </c>
      <c r="U326">
        <v>12</v>
      </c>
      <c r="V326">
        <v>8</v>
      </c>
      <c r="W326">
        <v>660</v>
      </c>
      <c r="X326" t="s">
        <v>195</v>
      </c>
      <c r="Y326">
        <v>8940</v>
      </c>
      <c r="Z326" t="s">
        <v>189</v>
      </c>
      <c r="AA326" t="s">
        <v>45</v>
      </c>
      <c r="AB326" t="str">
        <f t="shared" ref="AB326:AB346" si="41">"08"</f>
        <v>08</v>
      </c>
      <c r="AC326">
        <v>21831</v>
      </c>
      <c r="AD326">
        <v>774720</v>
      </c>
      <c r="AE326" t="s">
        <v>60</v>
      </c>
      <c r="AF326" t="s">
        <v>239</v>
      </c>
      <c r="AG326" t="s">
        <v>242</v>
      </c>
      <c r="AH326">
        <v>3</v>
      </c>
      <c r="AI326" s="7" t="str">
        <f t="shared" si="39"/>
        <v>37130382_08_3_3</v>
      </c>
      <c r="AJ326" t="s">
        <v>51</v>
      </c>
      <c r="AK326" t="s">
        <v>52</v>
      </c>
      <c r="AL326" s="1">
        <v>41431</v>
      </c>
      <c r="AM326">
        <v>5388</v>
      </c>
    </row>
    <row r="327" spans="1:39" x14ac:dyDescent="0.35">
      <c r="A327" s="3">
        <v>37130454</v>
      </c>
      <c r="B327" s="3" t="str">
        <f t="shared" si="40"/>
        <v>08-   3 L-3</v>
      </c>
      <c r="C327">
        <v>3</v>
      </c>
      <c r="D327" t="s">
        <v>277</v>
      </c>
      <c r="E327">
        <v>8</v>
      </c>
      <c r="F327">
        <v>40</v>
      </c>
      <c r="G327" t="s">
        <v>203</v>
      </c>
      <c r="H327">
        <v>31.015685699999999</v>
      </c>
      <c r="I327" t="str">
        <f>"-102.24625663"</f>
        <v>-102.24625663</v>
      </c>
      <c r="J327">
        <v>31.015837340000001</v>
      </c>
      <c r="K327" t="str">
        <f>"-102.24667045"</f>
        <v>-102.24667045</v>
      </c>
      <c r="L327" t="s">
        <v>43</v>
      </c>
      <c r="M327">
        <v>384284</v>
      </c>
      <c r="N327">
        <v>621750</v>
      </c>
      <c r="O327" t="s">
        <v>233</v>
      </c>
      <c r="P327" t="s">
        <v>291</v>
      </c>
      <c r="Q327">
        <v>5200</v>
      </c>
      <c r="R327" t="s">
        <v>44</v>
      </c>
      <c r="T327" t="s">
        <v>292</v>
      </c>
      <c r="U327">
        <v>12</v>
      </c>
      <c r="V327">
        <v>10</v>
      </c>
      <c r="W327">
        <v>660</v>
      </c>
      <c r="X327" t="s">
        <v>195</v>
      </c>
      <c r="Y327">
        <v>1980</v>
      </c>
      <c r="Z327" t="s">
        <v>189</v>
      </c>
      <c r="AA327" t="s">
        <v>152</v>
      </c>
      <c r="AB327" t="str">
        <f t="shared" si="41"/>
        <v>08</v>
      </c>
      <c r="AC327" t="str">
        <f>"050073"</f>
        <v>050073</v>
      </c>
      <c r="AD327">
        <v>148113</v>
      </c>
      <c r="AE327" t="s">
        <v>256</v>
      </c>
      <c r="AF327" t="s">
        <v>293</v>
      </c>
      <c r="AG327" t="s">
        <v>145</v>
      </c>
      <c r="AH327" t="s">
        <v>294</v>
      </c>
      <c r="AI327" s="7" t="str">
        <f t="shared" si="39"/>
        <v>37130454_08_   3 L_3</v>
      </c>
      <c r="AJ327" t="s">
        <v>51</v>
      </c>
      <c r="AK327" t="s">
        <v>52</v>
      </c>
      <c r="AL327" s="1">
        <v>46142</v>
      </c>
      <c r="AM327">
        <v>5200</v>
      </c>
    </row>
    <row r="328" spans="1:39" x14ac:dyDescent="0.35">
      <c r="A328" s="3">
        <v>37130454</v>
      </c>
      <c r="B328" s="3" t="str">
        <f t="shared" si="40"/>
        <v>08-   3 U-3</v>
      </c>
      <c r="C328">
        <v>3</v>
      </c>
      <c r="D328" t="s">
        <v>277</v>
      </c>
      <c r="E328">
        <v>8</v>
      </c>
      <c r="F328">
        <v>40</v>
      </c>
      <c r="G328" t="s">
        <v>203</v>
      </c>
      <c r="H328">
        <v>31.015685699999999</v>
      </c>
      <c r="I328" t="str">
        <f>"-102.24625663"</f>
        <v>-102.24625663</v>
      </c>
      <c r="J328">
        <v>31.015837340000001</v>
      </c>
      <c r="K328" t="str">
        <f>"-102.24667045"</f>
        <v>-102.24667045</v>
      </c>
      <c r="L328" t="s">
        <v>43</v>
      </c>
      <c r="M328">
        <v>384284</v>
      </c>
      <c r="N328">
        <v>621750</v>
      </c>
      <c r="O328" t="s">
        <v>233</v>
      </c>
      <c r="P328" t="s">
        <v>291</v>
      </c>
      <c r="Q328">
        <v>5200</v>
      </c>
      <c r="R328" t="s">
        <v>44</v>
      </c>
      <c r="T328" t="s">
        <v>292</v>
      </c>
      <c r="U328">
        <v>12</v>
      </c>
      <c r="V328">
        <v>10</v>
      </c>
      <c r="W328">
        <v>660</v>
      </c>
      <c r="X328" t="s">
        <v>195</v>
      </c>
      <c r="Y328">
        <v>1980</v>
      </c>
      <c r="Z328" t="s">
        <v>189</v>
      </c>
      <c r="AA328" t="s">
        <v>152</v>
      </c>
      <c r="AB328" t="str">
        <f t="shared" si="41"/>
        <v>08</v>
      </c>
      <c r="AC328" t="str">
        <f>"050202"</f>
        <v>050202</v>
      </c>
      <c r="AD328">
        <v>148113</v>
      </c>
      <c r="AE328" t="s">
        <v>256</v>
      </c>
      <c r="AF328" t="s">
        <v>293</v>
      </c>
      <c r="AG328" t="s">
        <v>276</v>
      </c>
      <c r="AH328" t="s">
        <v>290</v>
      </c>
      <c r="AI328" s="7" t="str">
        <f t="shared" si="39"/>
        <v>37130454_08_   3 U_3</v>
      </c>
      <c r="AJ328" t="s">
        <v>51</v>
      </c>
      <c r="AK328" t="s">
        <v>52</v>
      </c>
      <c r="AL328" s="1">
        <v>46142</v>
      </c>
      <c r="AM328">
        <v>5200</v>
      </c>
    </row>
    <row r="329" spans="1:39" x14ac:dyDescent="0.35">
      <c r="A329" s="3">
        <v>37130454</v>
      </c>
      <c r="B329" s="3" t="str">
        <f t="shared" si="40"/>
        <v>08-3-3</v>
      </c>
      <c r="C329">
        <v>3</v>
      </c>
      <c r="D329" t="s">
        <v>277</v>
      </c>
      <c r="E329">
        <v>8</v>
      </c>
      <c r="F329">
        <v>40</v>
      </c>
      <c r="G329" t="s">
        <v>203</v>
      </c>
      <c r="H329">
        <v>31.015685699999999</v>
      </c>
      <c r="I329" t="str">
        <f>"-102.24625663"</f>
        <v>-102.24625663</v>
      </c>
      <c r="J329">
        <v>31.015837340000001</v>
      </c>
      <c r="K329" t="str">
        <f>"-102.24667045"</f>
        <v>-102.24667045</v>
      </c>
      <c r="L329" t="s">
        <v>43</v>
      </c>
      <c r="M329">
        <v>384284</v>
      </c>
      <c r="N329">
        <v>621750</v>
      </c>
      <c r="O329" t="s">
        <v>233</v>
      </c>
      <c r="P329" t="s">
        <v>291</v>
      </c>
      <c r="Q329">
        <v>5200</v>
      </c>
      <c r="R329" t="s">
        <v>44</v>
      </c>
      <c r="T329" t="s">
        <v>292</v>
      </c>
      <c r="U329">
        <v>12</v>
      </c>
      <c r="V329">
        <v>10</v>
      </c>
      <c r="W329">
        <v>660</v>
      </c>
      <c r="X329" t="s">
        <v>195</v>
      </c>
      <c r="Y329">
        <v>1980</v>
      </c>
      <c r="Z329" t="s">
        <v>189</v>
      </c>
      <c r="AA329" t="s">
        <v>152</v>
      </c>
      <c r="AB329" t="str">
        <f t="shared" si="41"/>
        <v>08</v>
      </c>
      <c r="AC329">
        <v>138758</v>
      </c>
      <c r="AD329">
        <v>621750</v>
      </c>
      <c r="AE329" t="s">
        <v>233</v>
      </c>
      <c r="AF329" t="s">
        <v>291</v>
      </c>
      <c r="AG329" t="s">
        <v>276</v>
      </c>
      <c r="AH329">
        <v>3</v>
      </c>
      <c r="AI329" s="7" t="str">
        <f t="shared" si="39"/>
        <v>37130454_08_3_3</v>
      </c>
      <c r="AJ329" t="s">
        <v>51</v>
      </c>
      <c r="AK329" t="s">
        <v>52</v>
      </c>
      <c r="AL329" s="1">
        <v>46142</v>
      </c>
      <c r="AM329">
        <v>5200</v>
      </c>
    </row>
    <row r="330" spans="1:39" x14ac:dyDescent="0.35">
      <c r="A330" s="3">
        <v>37130485</v>
      </c>
      <c r="B330" s="3" t="str">
        <f t="shared" si="40"/>
        <v>08-   1 C-1</v>
      </c>
      <c r="C330">
        <v>1</v>
      </c>
      <c r="D330" t="s">
        <v>237</v>
      </c>
      <c r="E330">
        <v>6</v>
      </c>
      <c r="F330">
        <v>40</v>
      </c>
      <c r="G330" t="s">
        <v>203</v>
      </c>
      <c r="H330">
        <v>31.02036373</v>
      </c>
      <c r="I330" t="str">
        <f t="shared" ref="I330:I335" si="42">"-102.23890748"</f>
        <v>-102.23890748</v>
      </c>
      <c r="J330">
        <v>31.02051526</v>
      </c>
      <c r="K330" t="str">
        <f t="shared" ref="K330:K335" si="43">"-102.23932119"</f>
        <v>-102.23932119</v>
      </c>
      <c r="L330" t="s">
        <v>65</v>
      </c>
      <c r="M330">
        <v>503050</v>
      </c>
      <c r="N330">
        <v>562563</v>
      </c>
      <c r="O330" t="s">
        <v>295</v>
      </c>
      <c r="P330" t="s">
        <v>296</v>
      </c>
      <c r="Q330">
        <v>5273</v>
      </c>
      <c r="R330" t="s">
        <v>44</v>
      </c>
      <c r="S330">
        <v>294</v>
      </c>
      <c r="T330" t="s">
        <v>253</v>
      </c>
      <c r="U330">
        <v>12</v>
      </c>
      <c r="V330">
        <v>11</v>
      </c>
      <c r="W330">
        <v>1290</v>
      </c>
      <c r="X330" t="s">
        <v>254</v>
      </c>
      <c r="Y330">
        <v>4684</v>
      </c>
      <c r="Z330" t="s">
        <v>189</v>
      </c>
      <c r="AA330" t="s">
        <v>152</v>
      </c>
      <c r="AB330" t="str">
        <f t="shared" si="41"/>
        <v>08</v>
      </c>
      <c r="AC330" t="str">
        <f>"047147"</f>
        <v>047147</v>
      </c>
      <c r="AD330">
        <v>408850</v>
      </c>
      <c r="AE330" t="s">
        <v>275</v>
      </c>
      <c r="AG330" t="s">
        <v>145</v>
      </c>
      <c r="AH330" t="s">
        <v>54</v>
      </c>
      <c r="AI330" s="7" t="str">
        <f t="shared" si="39"/>
        <v>37130485_08_   1 C_1</v>
      </c>
      <c r="AJ330" t="s">
        <v>51</v>
      </c>
      <c r="AK330" t="s">
        <v>52</v>
      </c>
    </row>
    <row r="331" spans="1:39" x14ac:dyDescent="0.35">
      <c r="A331" s="3">
        <v>37130485</v>
      </c>
      <c r="B331" s="3" t="str">
        <f t="shared" si="40"/>
        <v>08-   1 T-1</v>
      </c>
      <c r="C331">
        <v>1</v>
      </c>
      <c r="D331" t="s">
        <v>237</v>
      </c>
      <c r="E331">
        <v>6</v>
      </c>
      <c r="F331">
        <v>40</v>
      </c>
      <c r="G331" t="s">
        <v>203</v>
      </c>
      <c r="H331">
        <v>31.02036373</v>
      </c>
      <c r="I331" t="str">
        <f t="shared" si="42"/>
        <v>-102.23890748</v>
      </c>
      <c r="J331">
        <v>31.02051526</v>
      </c>
      <c r="K331" t="str">
        <f t="shared" si="43"/>
        <v>-102.23932119</v>
      </c>
      <c r="L331" t="s">
        <v>65</v>
      </c>
      <c r="M331">
        <v>503050</v>
      </c>
      <c r="N331">
        <v>562563</v>
      </c>
      <c r="O331" t="s">
        <v>295</v>
      </c>
      <c r="P331" t="s">
        <v>296</v>
      </c>
      <c r="Q331">
        <v>5273</v>
      </c>
      <c r="R331" t="s">
        <v>44</v>
      </c>
      <c r="S331">
        <v>294</v>
      </c>
      <c r="T331" t="s">
        <v>253</v>
      </c>
      <c r="U331">
        <v>12</v>
      </c>
      <c r="V331">
        <v>11</v>
      </c>
      <c r="W331">
        <v>1290</v>
      </c>
      <c r="X331" t="s">
        <v>254</v>
      </c>
      <c r="Y331">
        <v>4684</v>
      </c>
      <c r="Z331" t="s">
        <v>189</v>
      </c>
      <c r="AA331" t="s">
        <v>152</v>
      </c>
      <c r="AB331" t="str">
        <f t="shared" si="41"/>
        <v>08</v>
      </c>
      <c r="AC331">
        <v>186740</v>
      </c>
      <c r="AD331">
        <v>200560</v>
      </c>
      <c r="AE331" t="s">
        <v>272</v>
      </c>
      <c r="AF331" t="s">
        <v>296</v>
      </c>
      <c r="AG331" t="s">
        <v>145</v>
      </c>
      <c r="AH331" t="s">
        <v>50</v>
      </c>
      <c r="AI331" s="7" t="str">
        <f t="shared" si="39"/>
        <v>37130485_08_   1 T_1</v>
      </c>
      <c r="AJ331" t="s">
        <v>72</v>
      </c>
      <c r="AK331" t="s">
        <v>73</v>
      </c>
    </row>
    <row r="332" spans="1:39" x14ac:dyDescent="0.35">
      <c r="A332" s="3">
        <v>37130485</v>
      </c>
      <c r="B332" s="3" t="str">
        <f t="shared" si="40"/>
        <v>08-1-1</v>
      </c>
      <c r="C332">
        <v>1</v>
      </c>
      <c r="D332" t="s">
        <v>237</v>
      </c>
      <c r="E332">
        <v>6</v>
      </c>
      <c r="F332">
        <v>40</v>
      </c>
      <c r="G332" t="s">
        <v>203</v>
      </c>
      <c r="H332">
        <v>31.02036373</v>
      </c>
      <c r="I332" t="str">
        <f t="shared" si="42"/>
        <v>-102.23890748</v>
      </c>
      <c r="J332">
        <v>31.02051526</v>
      </c>
      <c r="K332" t="str">
        <f t="shared" si="43"/>
        <v>-102.23932119</v>
      </c>
      <c r="L332" t="s">
        <v>65</v>
      </c>
      <c r="M332">
        <v>503050</v>
      </c>
      <c r="N332">
        <v>562563</v>
      </c>
      <c r="O332" t="s">
        <v>295</v>
      </c>
      <c r="P332" t="s">
        <v>296</v>
      </c>
      <c r="Q332">
        <v>5273</v>
      </c>
      <c r="R332" t="s">
        <v>44</v>
      </c>
      <c r="S332">
        <v>294</v>
      </c>
      <c r="T332" t="s">
        <v>253</v>
      </c>
      <c r="U332">
        <v>12</v>
      </c>
      <c r="V332">
        <v>11</v>
      </c>
      <c r="W332">
        <v>1290</v>
      </c>
      <c r="X332" t="s">
        <v>254</v>
      </c>
      <c r="Y332">
        <v>4684</v>
      </c>
      <c r="Z332" t="s">
        <v>189</v>
      </c>
      <c r="AA332" t="s">
        <v>45</v>
      </c>
      <c r="AB332" t="str">
        <f t="shared" si="41"/>
        <v>08</v>
      </c>
      <c r="AC332">
        <v>21998</v>
      </c>
      <c r="AD332">
        <v>200560</v>
      </c>
      <c r="AE332" t="s">
        <v>272</v>
      </c>
      <c r="AF332" t="s">
        <v>296</v>
      </c>
      <c r="AG332" t="s">
        <v>269</v>
      </c>
      <c r="AH332">
        <v>1</v>
      </c>
      <c r="AI332" s="7" t="str">
        <f t="shared" si="39"/>
        <v>37130485_08_1_1</v>
      </c>
      <c r="AJ332" t="s">
        <v>51</v>
      </c>
      <c r="AK332" t="s">
        <v>52</v>
      </c>
    </row>
    <row r="333" spans="1:39" x14ac:dyDescent="0.35">
      <c r="A333" s="3">
        <v>37130485</v>
      </c>
      <c r="B333" s="3" t="str">
        <f t="shared" si="40"/>
        <v>08-   1 C-1</v>
      </c>
      <c r="C333">
        <v>1</v>
      </c>
      <c r="D333" t="s">
        <v>237</v>
      </c>
      <c r="E333">
        <v>6</v>
      </c>
      <c r="F333">
        <v>40</v>
      </c>
      <c r="G333" t="s">
        <v>203</v>
      </c>
      <c r="H333">
        <v>31.02036373</v>
      </c>
      <c r="I333" t="str">
        <f t="shared" si="42"/>
        <v>-102.23890748</v>
      </c>
      <c r="J333">
        <v>31.02051526</v>
      </c>
      <c r="K333" t="str">
        <f t="shared" si="43"/>
        <v>-102.23932119</v>
      </c>
      <c r="L333" t="s">
        <v>65</v>
      </c>
      <c r="M333">
        <v>503050</v>
      </c>
      <c r="N333">
        <v>562563</v>
      </c>
      <c r="O333" t="s">
        <v>295</v>
      </c>
      <c r="P333" t="s">
        <v>296</v>
      </c>
      <c r="Q333">
        <v>5273</v>
      </c>
      <c r="R333" t="s">
        <v>44</v>
      </c>
      <c r="S333">
        <v>294</v>
      </c>
      <c r="T333" t="s">
        <v>253</v>
      </c>
      <c r="U333">
        <v>12</v>
      </c>
      <c r="V333">
        <v>11</v>
      </c>
      <c r="W333">
        <v>1290</v>
      </c>
      <c r="X333" t="s">
        <v>254</v>
      </c>
      <c r="Y333">
        <v>4684</v>
      </c>
      <c r="Z333" t="s">
        <v>189</v>
      </c>
      <c r="AA333" t="s">
        <v>45</v>
      </c>
      <c r="AB333" t="str">
        <f t="shared" si="41"/>
        <v>08</v>
      </c>
      <c r="AC333">
        <v>21998</v>
      </c>
      <c r="AD333">
        <v>200560</v>
      </c>
      <c r="AE333" t="s">
        <v>272</v>
      </c>
      <c r="AF333" t="s">
        <v>296</v>
      </c>
      <c r="AG333" t="s">
        <v>269</v>
      </c>
      <c r="AH333" t="s">
        <v>54</v>
      </c>
      <c r="AI333" s="7" t="str">
        <f t="shared" si="39"/>
        <v>37130485_08_   1 C_1</v>
      </c>
      <c r="AJ333" t="s">
        <v>72</v>
      </c>
      <c r="AK333" t="s">
        <v>73</v>
      </c>
    </row>
    <row r="334" spans="1:39" x14ac:dyDescent="0.35">
      <c r="A334" s="3">
        <v>37130485</v>
      </c>
      <c r="B334" s="3" t="str">
        <f t="shared" si="40"/>
        <v>08-1-1</v>
      </c>
      <c r="C334">
        <v>1</v>
      </c>
      <c r="D334" t="s">
        <v>237</v>
      </c>
      <c r="E334">
        <v>6</v>
      </c>
      <c r="F334">
        <v>40</v>
      </c>
      <c r="G334" t="s">
        <v>203</v>
      </c>
      <c r="H334">
        <v>31.02036373</v>
      </c>
      <c r="I334" t="str">
        <f t="shared" si="42"/>
        <v>-102.23890748</v>
      </c>
      <c r="J334">
        <v>31.02051526</v>
      </c>
      <c r="K334" t="str">
        <f t="shared" si="43"/>
        <v>-102.23932119</v>
      </c>
      <c r="L334" t="s">
        <v>65</v>
      </c>
      <c r="M334">
        <v>503050</v>
      </c>
      <c r="N334">
        <v>562563</v>
      </c>
      <c r="O334" t="s">
        <v>295</v>
      </c>
      <c r="P334" t="s">
        <v>296</v>
      </c>
      <c r="Q334">
        <v>5273</v>
      </c>
      <c r="R334" t="s">
        <v>44</v>
      </c>
      <c r="S334">
        <v>294</v>
      </c>
      <c r="T334" t="s">
        <v>253</v>
      </c>
      <c r="U334">
        <v>12</v>
      </c>
      <c r="V334">
        <v>11</v>
      </c>
      <c r="W334">
        <v>1290</v>
      </c>
      <c r="X334" t="s">
        <v>254</v>
      </c>
      <c r="Y334">
        <v>4684</v>
      </c>
      <c r="Z334" t="s">
        <v>189</v>
      </c>
      <c r="AA334" t="s">
        <v>45</v>
      </c>
      <c r="AB334" t="str">
        <f t="shared" si="41"/>
        <v>08</v>
      </c>
      <c r="AC334">
        <v>36708</v>
      </c>
      <c r="AD334">
        <v>562563</v>
      </c>
      <c r="AE334" t="s">
        <v>295</v>
      </c>
      <c r="AF334" t="s">
        <v>296</v>
      </c>
      <c r="AG334" t="s">
        <v>145</v>
      </c>
      <c r="AH334">
        <v>1</v>
      </c>
      <c r="AI334" s="7" t="str">
        <f t="shared" si="39"/>
        <v>37130485_08_1_1</v>
      </c>
      <c r="AJ334" t="s">
        <v>51</v>
      </c>
      <c r="AK334" t="s">
        <v>52</v>
      </c>
    </row>
    <row r="335" spans="1:39" x14ac:dyDescent="0.35">
      <c r="A335" s="3">
        <v>37130485</v>
      </c>
      <c r="B335" s="3" t="str">
        <f t="shared" si="40"/>
        <v>08-   1 T-1</v>
      </c>
      <c r="C335">
        <v>1</v>
      </c>
      <c r="D335" t="s">
        <v>237</v>
      </c>
      <c r="E335">
        <v>6</v>
      </c>
      <c r="F335">
        <v>40</v>
      </c>
      <c r="G335" t="s">
        <v>203</v>
      </c>
      <c r="H335">
        <v>31.02036373</v>
      </c>
      <c r="I335" t="str">
        <f t="shared" si="42"/>
        <v>-102.23890748</v>
      </c>
      <c r="J335">
        <v>31.02051526</v>
      </c>
      <c r="K335" t="str">
        <f t="shared" si="43"/>
        <v>-102.23932119</v>
      </c>
      <c r="L335" t="s">
        <v>65</v>
      </c>
      <c r="M335">
        <v>503050</v>
      </c>
      <c r="N335">
        <v>562563</v>
      </c>
      <c r="O335" t="s">
        <v>295</v>
      </c>
      <c r="P335" t="s">
        <v>296</v>
      </c>
      <c r="Q335">
        <v>5273</v>
      </c>
      <c r="R335" t="s">
        <v>44</v>
      </c>
      <c r="S335">
        <v>294</v>
      </c>
      <c r="T335" t="s">
        <v>253</v>
      </c>
      <c r="U335">
        <v>12</v>
      </c>
      <c r="V335">
        <v>11</v>
      </c>
      <c r="W335">
        <v>1290</v>
      </c>
      <c r="X335" t="s">
        <v>254</v>
      </c>
      <c r="Y335">
        <v>4684</v>
      </c>
      <c r="Z335" t="s">
        <v>189</v>
      </c>
      <c r="AA335" t="s">
        <v>45</v>
      </c>
      <c r="AB335" t="str">
        <f t="shared" si="41"/>
        <v>08</v>
      </c>
      <c r="AC335">
        <v>36708</v>
      </c>
      <c r="AD335">
        <v>562563</v>
      </c>
      <c r="AE335" t="s">
        <v>295</v>
      </c>
      <c r="AF335" t="s">
        <v>296</v>
      </c>
      <c r="AG335" t="s">
        <v>145</v>
      </c>
      <c r="AH335" t="s">
        <v>50</v>
      </c>
      <c r="AI335" s="7" t="str">
        <f t="shared" si="39"/>
        <v>37130485_08_   1 T_1</v>
      </c>
      <c r="AJ335" t="s">
        <v>51</v>
      </c>
      <c r="AK335" t="s">
        <v>52</v>
      </c>
    </row>
    <row r="336" spans="1:39" x14ac:dyDescent="0.35">
      <c r="A336" s="3">
        <v>37130501</v>
      </c>
      <c r="B336" s="3" t="str">
        <f t="shared" si="40"/>
        <v>08-   2 C-2C</v>
      </c>
      <c r="C336" t="s">
        <v>297</v>
      </c>
      <c r="D336" t="s">
        <v>237</v>
      </c>
      <c r="E336">
        <v>6</v>
      </c>
      <c r="F336">
        <v>15</v>
      </c>
      <c r="G336" t="s">
        <v>40</v>
      </c>
      <c r="H336">
        <v>31.020400299999999</v>
      </c>
      <c r="I336" t="str">
        <f>"-102.2241107"</f>
        <v>-102.2241107</v>
      </c>
      <c r="J336">
        <v>31.020551990000001</v>
      </c>
      <c r="K336" t="str">
        <f>"-102.22452413"</f>
        <v>-102.22452413</v>
      </c>
      <c r="L336" t="s">
        <v>65</v>
      </c>
      <c r="M336">
        <v>233479</v>
      </c>
      <c r="N336">
        <v>408850</v>
      </c>
      <c r="O336" t="s">
        <v>275</v>
      </c>
      <c r="P336" t="s">
        <v>298</v>
      </c>
      <c r="Q336">
        <v>5560</v>
      </c>
      <c r="R336" t="s">
        <v>44</v>
      </c>
      <c r="S336">
        <v>295</v>
      </c>
      <c r="T336" t="s">
        <v>299</v>
      </c>
      <c r="U336">
        <v>12</v>
      </c>
      <c r="V336">
        <v>13</v>
      </c>
      <c r="W336">
        <v>6115</v>
      </c>
      <c r="X336" t="s">
        <v>300</v>
      </c>
      <c r="Y336">
        <v>600</v>
      </c>
      <c r="Z336" t="s">
        <v>301</v>
      </c>
      <c r="AA336" t="s">
        <v>152</v>
      </c>
      <c r="AB336" t="str">
        <f t="shared" si="41"/>
        <v>08</v>
      </c>
      <c r="AC336" t="str">
        <f>"050427"</f>
        <v>050427</v>
      </c>
      <c r="AD336">
        <v>408850</v>
      </c>
      <c r="AE336" t="s">
        <v>275</v>
      </c>
      <c r="AF336" t="s">
        <v>298</v>
      </c>
      <c r="AG336" t="s">
        <v>276</v>
      </c>
      <c r="AH336" t="s">
        <v>88</v>
      </c>
      <c r="AI336" s="7" t="str">
        <f t="shared" si="39"/>
        <v>37130501_08_   2 C_2C</v>
      </c>
      <c r="AJ336" t="s">
        <v>51</v>
      </c>
      <c r="AK336" t="s">
        <v>52</v>
      </c>
    </row>
    <row r="337" spans="1:41" x14ac:dyDescent="0.35">
      <c r="A337" s="3">
        <v>37130501</v>
      </c>
      <c r="B337" s="3" t="str">
        <f t="shared" si="40"/>
        <v>08-   2C -2C</v>
      </c>
      <c r="C337" t="s">
        <v>297</v>
      </c>
      <c r="D337" t="s">
        <v>237</v>
      </c>
      <c r="E337">
        <v>6</v>
      </c>
      <c r="F337">
        <v>15</v>
      </c>
      <c r="G337" t="s">
        <v>40</v>
      </c>
      <c r="H337">
        <v>31.020400299999999</v>
      </c>
      <c r="I337" t="str">
        <f>"-102.2241107"</f>
        <v>-102.2241107</v>
      </c>
      <c r="J337">
        <v>31.020551990000001</v>
      </c>
      <c r="K337" t="str">
        <f>"-102.22452413"</f>
        <v>-102.22452413</v>
      </c>
      <c r="L337" t="s">
        <v>65</v>
      </c>
      <c r="M337">
        <v>233479</v>
      </c>
      <c r="N337">
        <v>408850</v>
      </c>
      <c r="O337" t="s">
        <v>275</v>
      </c>
      <c r="P337" t="s">
        <v>298</v>
      </c>
      <c r="Q337">
        <v>5560</v>
      </c>
      <c r="R337" t="s">
        <v>44</v>
      </c>
      <c r="S337">
        <v>295</v>
      </c>
      <c r="T337" t="s">
        <v>299</v>
      </c>
      <c r="U337">
        <v>12</v>
      </c>
      <c r="V337">
        <v>13</v>
      </c>
      <c r="W337">
        <v>6115</v>
      </c>
      <c r="X337" t="s">
        <v>300</v>
      </c>
      <c r="Y337">
        <v>600</v>
      </c>
      <c r="Z337" t="s">
        <v>301</v>
      </c>
      <c r="AA337" t="s">
        <v>45</v>
      </c>
      <c r="AB337" t="str">
        <f t="shared" si="41"/>
        <v>08</v>
      </c>
      <c r="AC337">
        <v>28807</v>
      </c>
      <c r="AD337">
        <v>200560</v>
      </c>
      <c r="AE337" t="s">
        <v>272</v>
      </c>
      <c r="AF337" t="s">
        <v>298</v>
      </c>
      <c r="AG337" t="s">
        <v>269</v>
      </c>
      <c r="AH337" t="s">
        <v>302</v>
      </c>
      <c r="AI337" s="7" t="str">
        <f t="shared" si="39"/>
        <v>37130501_08_   2C _2C</v>
      </c>
      <c r="AJ337" t="s">
        <v>72</v>
      </c>
      <c r="AK337" t="s">
        <v>73</v>
      </c>
    </row>
    <row r="338" spans="1:41" x14ac:dyDescent="0.35">
      <c r="A338" s="3">
        <v>37130504</v>
      </c>
      <c r="B338" s="3" t="str">
        <f t="shared" si="40"/>
        <v>08-3-3</v>
      </c>
      <c r="C338">
        <v>3</v>
      </c>
      <c r="D338" t="s">
        <v>41</v>
      </c>
      <c r="E338">
        <v>7</v>
      </c>
      <c r="F338">
        <v>15</v>
      </c>
      <c r="G338" t="s">
        <v>40</v>
      </c>
      <c r="H338">
        <v>31.0262876</v>
      </c>
      <c r="I338" t="str">
        <f>"-102.22294"</f>
        <v>-102.22294</v>
      </c>
      <c r="J338">
        <v>31.026439119999999</v>
      </c>
      <c r="K338" t="str">
        <f>"-102.2233535"</f>
        <v>-102.2233535</v>
      </c>
      <c r="L338" t="s">
        <v>43</v>
      </c>
      <c r="M338">
        <v>259173</v>
      </c>
      <c r="N338">
        <v>408850</v>
      </c>
      <c r="O338" t="s">
        <v>275</v>
      </c>
      <c r="P338" t="s">
        <v>298</v>
      </c>
      <c r="Q338">
        <v>5574</v>
      </c>
      <c r="R338" t="s">
        <v>44</v>
      </c>
      <c r="T338" t="s">
        <v>299</v>
      </c>
      <c r="U338">
        <v>12</v>
      </c>
      <c r="V338">
        <v>13</v>
      </c>
      <c r="W338">
        <v>8103</v>
      </c>
      <c r="X338" t="s">
        <v>300</v>
      </c>
      <c r="Y338">
        <v>660</v>
      </c>
      <c r="Z338" t="s">
        <v>301</v>
      </c>
      <c r="AA338" t="s">
        <v>45</v>
      </c>
      <c r="AB338" t="str">
        <f t="shared" si="41"/>
        <v>08</v>
      </c>
      <c r="AC338">
        <v>21823</v>
      </c>
      <c r="AD338">
        <v>200560</v>
      </c>
      <c r="AE338" t="s">
        <v>272</v>
      </c>
      <c r="AF338" t="s">
        <v>298</v>
      </c>
      <c r="AG338" t="s">
        <v>186</v>
      </c>
      <c r="AH338">
        <v>3</v>
      </c>
      <c r="AI338" s="7" t="str">
        <f t="shared" si="39"/>
        <v>37130504_08_3_3</v>
      </c>
      <c r="AJ338" t="s">
        <v>51</v>
      </c>
      <c r="AK338" t="s">
        <v>52</v>
      </c>
      <c r="AL338" s="1">
        <v>35726</v>
      </c>
      <c r="AM338">
        <v>5574</v>
      </c>
    </row>
    <row r="339" spans="1:41" x14ac:dyDescent="0.35">
      <c r="A339" s="3">
        <v>37130504</v>
      </c>
      <c r="B339" s="3" t="str">
        <f t="shared" si="40"/>
        <v>08-3-3</v>
      </c>
      <c r="C339">
        <v>3</v>
      </c>
      <c r="D339" t="s">
        <v>41</v>
      </c>
      <c r="E339">
        <v>7</v>
      </c>
      <c r="F339">
        <v>15</v>
      </c>
      <c r="G339" t="s">
        <v>40</v>
      </c>
      <c r="H339">
        <v>31.0262876</v>
      </c>
      <c r="I339" t="str">
        <f>"-102.22294"</f>
        <v>-102.22294</v>
      </c>
      <c r="J339">
        <v>31.026439119999999</v>
      </c>
      <c r="K339" t="str">
        <f>"-102.2233535"</f>
        <v>-102.2233535</v>
      </c>
      <c r="L339" t="s">
        <v>43</v>
      </c>
      <c r="M339">
        <v>259173</v>
      </c>
      <c r="N339">
        <v>408850</v>
      </c>
      <c r="O339" t="s">
        <v>275</v>
      </c>
      <c r="P339" t="s">
        <v>298</v>
      </c>
      <c r="Q339">
        <v>5574</v>
      </c>
      <c r="R339" t="s">
        <v>44</v>
      </c>
      <c r="T339" t="s">
        <v>299</v>
      </c>
      <c r="U339">
        <v>12</v>
      </c>
      <c r="V339">
        <v>13</v>
      </c>
      <c r="W339">
        <v>8103</v>
      </c>
      <c r="X339" t="s">
        <v>300</v>
      </c>
      <c r="Y339">
        <v>660</v>
      </c>
      <c r="Z339" t="s">
        <v>301</v>
      </c>
      <c r="AA339" t="s">
        <v>45</v>
      </c>
      <c r="AB339" t="str">
        <f t="shared" si="41"/>
        <v>08</v>
      </c>
      <c r="AC339">
        <v>28807</v>
      </c>
      <c r="AD339">
        <v>200560</v>
      </c>
      <c r="AE339" t="s">
        <v>272</v>
      </c>
      <c r="AF339" t="s">
        <v>298</v>
      </c>
      <c r="AG339" t="s">
        <v>269</v>
      </c>
      <c r="AH339">
        <v>3</v>
      </c>
      <c r="AI339" s="7" t="str">
        <f t="shared" si="39"/>
        <v>37130504_08_3_3</v>
      </c>
      <c r="AJ339" t="s">
        <v>51</v>
      </c>
      <c r="AK339" t="s">
        <v>52</v>
      </c>
      <c r="AL339" s="1">
        <v>35726</v>
      </c>
      <c r="AM339">
        <v>5574</v>
      </c>
    </row>
    <row r="340" spans="1:41" x14ac:dyDescent="0.35">
      <c r="A340" s="3">
        <v>37130524</v>
      </c>
      <c r="B340" s="3" t="str">
        <f t="shared" si="40"/>
        <v>08-1-1</v>
      </c>
      <c r="C340">
        <v>1</v>
      </c>
      <c r="D340" t="s">
        <v>41</v>
      </c>
      <c r="E340">
        <v>7</v>
      </c>
      <c r="F340">
        <v>15</v>
      </c>
      <c r="G340" t="s">
        <v>40</v>
      </c>
      <c r="H340">
        <v>31.0241042</v>
      </c>
      <c r="I340" t="str">
        <f>"-102.2281918"</f>
        <v>-102.2281918</v>
      </c>
      <c r="J340">
        <v>31.024255740000001</v>
      </c>
      <c r="K340" t="str">
        <f>"-102.22860536"</f>
        <v>-102.22860536</v>
      </c>
      <c r="L340" t="s">
        <v>62</v>
      </c>
      <c r="Q340">
        <v>5460</v>
      </c>
      <c r="R340" t="s">
        <v>44</v>
      </c>
      <c r="AA340" t="s">
        <v>45</v>
      </c>
      <c r="AB340" t="str">
        <f t="shared" si="41"/>
        <v>08</v>
      </c>
      <c r="AC340">
        <v>22013</v>
      </c>
      <c r="AD340">
        <v>338130</v>
      </c>
      <c r="AE340" t="s">
        <v>74</v>
      </c>
      <c r="AG340" t="s">
        <v>186</v>
      </c>
      <c r="AH340">
        <v>1</v>
      </c>
      <c r="AI340" s="7" t="str">
        <f t="shared" si="39"/>
        <v>37130524_08_1_1</v>
      </c>
      <c r="AJ340" t="s">
        <v>51</v>
      </c>
      <c r="AK340" t="s">
        <v>52</v>
      </c>
    </row>
    <row r="341" spans="1:41" x14ac:dyDescent="0.35">
      <c r="A341" s="3">
        <v>37130567</v>
      </c>
      <c r="B341" s="3" t="str">
        <f t="shared" si="40"/>
        <v>08-4-4</v>
      </c>
      <c r="C341">
        <v>4</v>
      </c>
      <c r="D341" t="s">
        <v>63</v>
      </c>
      <c r="E341">
        <v>4</v>
      </c>
      <c r="F341">
        <v>50</v>
      </c>
      <c r="G341" t="s">
        <v>42</v>
      </c>
      <c r="H341">
        <v>31.030036450000001</v>
      </c>
      <c r="I341" t="str">
        <f>"-102.26980977"</f>
        <v>-102.26980977</v>
      </c>
      <c r="J341">
        <v>31.030187519999998</v>
      </c>
      <c r="K341" t="str">
        <f>"-102.27022443"</f>
        <v>-102.27022443</v>
      </c>
      <c r="L341" t="s">
        <v>43</v>
      </c>
      <c r="M341">
        <v>542447</v>
      </c>
      <c r="N341">
        <v>419291</v>
      </c>
      <c r="O341" t="s">
        <v>303</v>
      </c>
      <c r="P341" t="s">
        <v>304</v>
      </c>
      <c r="Q341">
        <v>5220</v>
      </c>
      <c r="R341" t="s">
        <v>44</v>
      </c>
      <c r="S341">
        <v>292</v>
      </c>
      <c r="T341" t="s">
        <v>282</v>
      </c>
      <c r="U341">
        <v>12</v>
      </c>
      <c r="V341">
        <v>7</v>
      </c>
      <c r="W341">
        <v>990</v>
      </c>
      <c r="X341" t="s">
        <v>195</v>
      </c>
      <c r="Y341">
        <v>9006</v>
      </c>
      <c r="Z341" t="s">
        <v>189</v>
      </c>
      <c r="AA341" t="s">
        <v>45</v>
      </c>
      <c r="AB341" t="str">
        <f t="shared" si="41"/>
        <v>08</v>
      </c>
      <c r="AC341">
        <v>22137</v>
      </c>
      <c r="AD341">
        <v>741977</v>
      </c>
      <c r="AE341" t="s">
        <v>305</v>
      </c>
      <c r="AF341" t="s">
        <v>306</v>
      </c>
      <c r="AG341" t="s">
        <v>145</v>
      </c>
      <c r="AH341">
        <v>4</v>
      </c>
      <c r="AI341" s="7" t="str">
        <f t="shared" si="39"/>
        <v>37130567_08_4_4</v>
      </c>
      <c r="AJ341" t="s">
        <v>51</v>
      </c>
      <c r="AK341" t="s">
        <v>52</v>
      </c>
      <c r="AL341" s="1">
        <v>41583</v>
      </c>
      <c r="AM341">
        <v>5850</v>
      </c>
    </row>
    <row r="342" spans="1:41" x14ac:dyDescent="0.35">
      <c r="A342" s="3">
        <v>37130623</v>
      </c>
      <c r="B342" s="3" t="str">
        <f t="shared" si="40"/>
        <v>08-4-4</v>
      </c>
      <c r="C342">
        <v>4</v>
      </c>
      <c r="D342" t="s">
        <v>63</v>
      </c>
      <c r="E342">
        <v>4</v>
      </c>
      <c r="F342">
        <v>40</v>
      </c>
      <c r="G342" t="s">
        <v>203</v>
      </c>
      <c r="H342">
        <v>31.01583716</v>
      </c>
      <c r="I342" t="str">
        <f>"-102.22494645"</f>
        <v>-102.22494645</v>
      </c>
      <c r="J342">
        <v>31.01598903</v>
      </c>
      <c r="K342" t="str">
        <f>"-102.22535988"</f>
        <v>-102.22535988</v>
      </c>
      <c r="L342" t="s">
        <v>65</v>
      </c>
      <c r="M342">
        <v>506839</v>
      </c>
      <c r="N342">
        <v>562563</v>
      </c>
      <c r="O342" t="s">
        <v>295</v>
      </c>
      <c r="P342" t="s">
        <v>307</v>
      </c>
      <c r="Q342">
        <v>5611</v>
      </c>
      <c r="R342" t="s">
        <v>44</v>
      </c>
      <c r="S342">
        <v>295</v>
      </c>
      <c r="T342" t="s">
        <v>253</v>
      </c>
      <c r="U342">
        <v>12</v>
      </c>
      <c r="V342">
        <v>13</v>
      </c>
      <c r="W342">
        <v>4425</v>
      </c>
      <c r="X342" t="s">
        <v>189</v>
      </c>
      <c r="Y342">
        <v>660</v>
      </c>
      <c r="Z342" t="s">
        <v>254</v>
      </c>
      <c r="AA342" t="s">
        <v>45</v>
      </c>
      <c r="AB342" t="str">
        <f t="shared" si="41"/>
        <v>08</v>
      </c>
      <c r="AC342">
        <v>21823</v>
      </c>
      <c r="AD342">
        <v>200560</v>
      </c>
      <c r="AE342" t="s">
        <v>272</v>
      </c>
      <c r="AF342" t="s">
        <v>298</v>
      </c>
      <c r="AG342" t="s">
        <v>186</v>
      </c>
      <c r="AH342">
        <v>4</v>
      </c>
      <c r="AI342" s="7" t="str">
        <f t="shared" si="39"/>
        <v>37130623_08_4_4</v>
      </c>
      <c r="AJ342" t="s">
        <v>51</v>
      </c>
      <c r="AK342" t="s">
        <v>52</v>
      </c>
    </row>
    <row r="343" spans="1:41" x14ac:dyDescent="0.35">
      <c r="A343" s="3">
        <v>37130623</v>
      </c>
      <c r="B343" s="3" t="str">
        <f t="shared" si="40"/>
        <v>08-4-4</v>
      </c>
      <c r="C343">
        <v>4</v>
      </c>
      <c r="D343" t="s">
        <v>63</v>
      </c>
      <c r="E343">
        <v>4</v>
      </c>
      <c r="F343">
        <v>40</v>
      </c>
      <c r="G343" t="s">
        <v>203</v>
      </c>
      <c r="H343">
        <v>31.01583716</v>
      </c>
      <c r="I343" t="str">
        <f>"-102.22494645"</f>
        <v>-102.22494645</v>
      </c>
      <c r="J343">
        <v>31.01598903</v>
      </c>
      <c r="K343" t="str">
        <f>"-102.22535988"</f>
        <v>-102.22535988</v>
      </c>
      <c r="L343" t="s">
        <v>65</v>
      </c>
      <c r="M343">
        <v>506839</v>
      </c>
      <c r="N343">
        <v>562563</v>
      </c>
      <c r="O343" t="s">
        <v>295</v>
      </c>
      <c r="P343" t="s">
        <v>307</v>
      </c>
      <c r="Q343">
        <v>5611</v>
      </c>
      <c r="R343" t="s">
        <v>44</v>
      </c>
      <c r="S343">
        <v>295</v>
      </c>
      <c r="T343" t="s">
        <v>253</v>
      </c>
      <c r="U343">
        <v>12</v>
      </c>
      <c r="V343">
        <v>13</v>
      </c>
      <c r="W343">
        <v>4425</v>
      </c>
      <c r="X343" t="s">
        <v>189</v>
      </c>
      <c r="Y343">
        <v>660</v>
      </c>
      <c r="Z343" t="s">
        <v>254</v>
      </c>
      <c r="AA343" t="s">
        <v>45</v>
      </c>
      <c r="AB343" t="str">
        <f t="shared" si="41"/>
        <v>08</v>
      </c>
      <c r="AC343">
        <v>28807</v>
      </c>
      <c r="AD343">
        <v>200560</v>
      </c>
      <c r="AE343" t="s">
        <v>272</v>
      </c>
      <c r="AF343" t="s">
        <v>298</v>
      </c>
      <c r="AG343" t="s">
        <v>269</v>
      </c>
      <c r="AH343">
        <v>4</v>
      </c>
      <c r="AI343" s="7" t="str">
        <f t="shared" si="39"/>
        <v>37130623_08_4_4</v>
      </c>
      <c r="AJ343" t="s">
        <v>51</v>
      </c>
      <c r="AK343" t="s">
        <v>52</v>
      </c>
    </row>
    <row r="344" spans="1:41" x14ac:dyDescent="0.35">
      <c r="A344" s="3">
        <v>37130623</v>
      </c>
      <c r="B344" s="3" t="str">
        <f t="shared" si="40"/>
        <v>08-   4 C-4</v>
      </c>
      <c r="C344">
        <v>4</v>
      </c>
      <c r="D344" t="s">
        <v>63</v>
      </c>
      <c r="E344">
        <v>4</v>
      </c>
      <c r="F344">
        <v>40</v>
      </c>
      <c r="G344" t="s">
        <v>203</v>
      </c>
      <c r="H344">
        <v>31.01583716</v>
      </c>
      <c r="I344" t="str">
        <f>"-102.22494645"</f>
        <v>-102.22494645</v>
      </c>
      <c r="J344">
        <v>31.01598903</v>
      </c>
      <c r="K344" t="str">
        <f>"-102.22535988"</f>
        <v>-102.22535988</v>
      </c>
      <c r="L344" t="s">
        <v>65</v>
      </c>
      <c r="M344">
        <v>506839</v>
      </c>
      <c r="N344">
        <v>562563</v>
      </c>
      <c r="O344" t="s">
        <v>295</v>
      </c>
      <c r="P344" t="s">
        <v>307</v>
      </c>
      <c r="Q344">
        <v>5611</v>
      </c>
      <c r="R344" t="s">
        <v>44</v>
      </c>
      <c r="S344">
        <v>295</v>
      </c>
      <c r="T344" t="s">
        <v>253</v>
      </c>
      <c r="U344">
        <v>12</v>
      </c>
      <c r="V344">
        <v>13</v>
      </c>
      <c r="W344">
        <v>4425</v>
      </c>
      <c r="X344" t="s">
        <v>189</v>
      </c>
      <c r="Y344">
        <v>660</v>
      </c>
      <c r="Z344" t="s">
        <v>254</v>
      </c>
      <c r="AA344" t="s">
        <v>45</v>
      </c>
      <c r="AB344" t="str">
        <f t="shared" si="41"/>
        <v>08</v>
      </c>
      <c r="AC344">
        <v>28807</v>
      </c>
      <c r="AD344">
        <v>200560</v>
      </c>
      <c r="AE344" t="s">
        <v>272</v>
      </c>
      <c r="AF344" t="s">
        <v>298</v>
      </c>
      <c r="AG344" t="s">
        <v>269</v>
      </c>
      <c r="AH344" t="s">
        <v>94</v>
      </c>
      <c r="AI344" s="7" t="str">
        <f t="shared" si="39"/>
        <v>37130623_08_   4 C_4</v>
      </c>
      <c r="AJ344" t="s">
        <v>72</v>
      </c>
      <c r="AK344" t="s">
        <v>73</v>
      </c>
    </row>
    <row r="345" spans="1:41" x14ac:dyDescent="0.35">
      <c r="A345" s="3">
        <v>37130623</v>
      </c>
      <c r="B345" s="3" t="str">
        <f t="shared" si="40"/>
        <v>08-4-4</v>
      </c>
      <c r="C345">
        <v>4</v>
      </c>
      <c r="D345" t="s">
        <v>63</v>
      </c>
      <c r="E345">
        <v>4</v>
      </c>
      <c r="F345">
        <v>40</v>
      </c>
      <c r="G345" t="s">
        <v>203</v>
      </c>
      <c r="H345">
        <v>31.01583716</v>
      </c>
      <c r="I345" t="str">
        <f>"-102.22494645"</f>
        <v>-102.22494645</v>
      </c>
      <c r="J345">
        <v>31.01598903</v>
      </c>
      <c r="K345" t="str">
        <f>"-102.22535988"</f>
        <v>-102.22535988</v>
      </c>
      <c r="L345" t="s">
        <v>65</v>
      </c>
      <c r="M345">
        <v>506839</v>
      </c>
      <c r="N345">
        <v>562563</v>
      </c>
      <c r="O345" t="s">
        <v>295</v>
      </c>
      <c r="P345" t="s">
        <v>307</v>
      </c>
      <c r="Q345">
        <v>5611</v>
      </c>
      <c r="R345" t="s">
        <v>44</v>
      </c>
      <c r="S345">
        <v>295</v>
      </c>
      <c r="T345" t="s">
        <v>253</v>
      </c>
      <c r="U345">
        <v>12</v>
      </c>
      <c r="V345">
        <v>13</v>
      </c>
      <c r="W345">
        <v>4425</v>
      </c>
      <c r="X345" t="s">
        <v>189</v>
      </c>
      <c r="Y345">
        <v>660</v>
      </c>
      <c r="Z345" t="s">
        <v>254</v>
      </c>
      <c r="AA345" t="s">
        <v>45</v>
      </c>
      <c r="AB345" t="str">
        <f t="shared" si="41"/>
        <v>08</v>
      </c>
      <c r="AC345">
        <v>36838</v>
      </c>
      <c r="AD345">
        <v>200560</v>
      </c>
      <c r="AE345" t="s">
        <v>272</v>
      </c>
      <c r="AF345" t="s">
        <v>307</v>
      </c>
      <c r="AG345" t="s">
        <v>145</v>
      </c>
      <c r="AH345">
        <v>4</v>
      </c>
      <c r="AI345" s="7" t="str">
        <f t="shared" si="39"/>
        <v>37130623_08_4_4</v>
      </c>
      <c r="AJ345" t="s">
        <v>51</v>
      </c>
      <c r="AK345" t="s">
        <v>52</v>
      </c>
    </row>
    <row r="346" spans="1:41" x14ac:dyDescent="0.35">
      <c r="A346" s="3">
        <v>37130623</v>
      </c>
      <c r="B346" s="3" t="str">
        <f t="shared" si="40"/>
        <v>08-   4 T-4</v>
      </c>
      <c r="C346">
        <v>4</v>
      </c>
      <c r="D346" t="s">
        <v>63</v>
      </c>
      <c r="E346">
        <v>4</v>
      </c>
      <c r="F346">
        <v>40</v>
      </c>
      <c r="G346" t="s">
        <v>203</v>
      </c>
      <c r="H346">
        <v>31.01583716</v>
      </c>
      <c r="I346" t="str">
        <f>"-102.22494645"</f>
        <v>-102.22494645</v>
      </c>
      <c r="J346">
        <v>31.01598903</v>
      </c>
      <c r="K346" t="str">
        <f>"-102.22535988"</f>
        <v>-102.22535988</v>
      </c>
      <c r="L346" t="s">
        <v>65</v>
      </c>
      <c r="M346">
        <v>506839</v>
      </c>
      <c r="N346">
        <v>562563</v>
      </c>
      <c r="O346" t="s">
        <v>295</v>
      </c>
      <c r="P346" t="s">
        <v>307</v>
      </c>
      <c r="Q346">
        <v>5611</v>
      </c>
      <c r="R346" t="s">
        <v>44</v>
      </c>
      <c r="S346">
        <v>295</v>
      </c>
      <c r="T346" t="s">
        <v>253</v>
      </c>
      <c r="U346">
        <v>12</v>
      </c>
      <c r="V346">
        <v>13</v>
      </c>
      <c r="W346">
        <v>4425</v>
      </c>
      <c r="X346" t="s">
        <v>189</v>
      </c>
      <c r="Y346">
        <v>660</v>
      </c>
      <c r="Z346" t="s">
        <v>254</v>
      </c>
      <c r="AA346" t="s">
        <v>45</v>
      </c>
      <c r="AB346" t="str">
        <f t="shared" si="41"/>
        <v>08</v>
      </c>
      <c r="AC346">
        <v>36838</v>
      </c>
      <c r="AD346">
        <v>200560</v>
      </c>
      <c r="AE346" t="s">
        <v>272</v>
      </c>
      <c r="AF346" t="s">
        <v>307</v>
      </c>
      <c r="AG346" t="s">
        <v>145</v>
      </c>
      <c r="AH346" t="s">
        <v>93</v>
      </c>
      <c r="AI346" s="7" t="str">
        <f t="shared" si="39"/>
        <v>37130623_08_   4 T_4</v>
      </c>
      <c r="AJ346" t="s">
        <v>72</v>
      </c>
      <c r="AK346" t="s">
        <v>73</v>
      </c>
    </row>
    <row r="347" spans="1:41" x14ac:dyDescent="0.35">
      <c r="A347" s="3">
        <v>37130657</v>
      </c>
      <c r="B347" s="3" t="str">
        <f t="shared" si="40"/>
        <v>--2</v>
      </c>
      <c r="C347">
        <v>2</v>
      </c>
      <c r="D347" t="s">
        <v>39</v>
      </c>
      <c r="E347">
        <v>3</v>
      </c>
      <c r="F347">
        <v>15</v>
      </c>
      <c r="G347" t="s">
        <v>40</v>
      </c>
      <c r="H347">
        <v>31.020031899999999</v>
      </c>
      <c r="I347" t="str">
        <f>"-102.275686"</f>
        <v>-102.275686</v>
      </c>
      <c r="J347">
        <v>31.020183190000001</v>
      </c>
      <c r="K347" t="str">
        <f>"-102.27610065"</f>
        <v>-102.27610065</v>
      </c>
      <c r="L347" t="s">
        <v>149</v>
      </c>
      <c r="M347">
        <v>207018</v>
      </c>
      <c r="N347">
        <v>864810</v>
      </c>
      <c r="O347" t="s">
        <v>308</v>
      </c>
      <c r="P347" t="s">
        <v>309</v>
      </c>
      <c r="Q347">
        <v>0</v>
      </c>
      <c r="R347" t="s">
        <v>44</v>
      </c>
      <c r="AI347" s="7" t="str">
        <f t="shared" si="39"/>
        <v>37130657___2</v>
      </c>
      <c r="AL347" s="1">
        <v>30697</v>
      </c>
      <c r="AM347">
        <v>4900</v>
      </c>
      <c r="AN347" t="s">
        <v>308</v>
      </c>
      <c r="AO347" t="s">
        <v>310</v>
      </c>
    </row>
    <row r="348" spans="1:41" x14ac:dyDescent="0.35">
      <c r="A348" s="3">
        <v>37130688</v>
      </c>
      <c r="B348" s="3" t="str">
        <f t="shared" si="40"/>
        <v>08-2-1</v>
      </c>
      <c r="C348">
        <v>1</v>
      </c>
      <c r="D348" t="s">
        <v>151</v>
      </c>
      <c r="E348">
        <v>10</v>
      </c>
      <c r="F348">
        <v>40</v>
      </c>
      <c r="G348" t="s">
        <v>203</v>
      </c>
      <c r="H348">
        <v>31.01899474</v>
      </c>
      <c r="I348" t="str">
        <f>"-102.22875394"</f>
        <v>-102.22875394</v>
      </c>
      <c r="J348">
        <v>31.01914639</v>
      </c>
      <c r="K348" t="str">
        <f>"-102.22916739"</f>
        <v>-102.22916739</v>
      </c>
      <c r="L348" t="s">
        <v>43</v>
      </c>
      <c r="M348">
        <v>522767</v>
      </c>
      <c r="N348">
        <v>562563</v>
      </c>
      <c r="O348" t="s">
        <v>295</v>
      </c>
      <c r="P348" t="s">
        <v>311</v>
      </c>
      <c r="Q348">
        <v>5391</v>
      </c>
      <c r="R348" t="s">
        <v>44</v>
      </c>
      <c r="T348" t="s">
        <v>257</v>
      </c>
      <c r="U348">
        <v>12</v>
      </c>
      <c r="V348">
        <v>12</v>
      </c>
      <c r="W348">
        <v>731</v>
      </c>
      <c r="X348" t="s">
        <v>195</v>
      </c>
      <c r="Y348">
        <v>5332</v>
      </c>
      <c r="Z348" t="s">
        <v>189</v>
      </c>
      <c r="AA348" t="s">
        <v>152</v>
      </c>
      <c r="AB348" t="str">
        <f t="shared" ref="AB348:AB353" si="44">"08"</f>
        <v>08</v>
      </c>
      <c r="AC348" t="str">
        <f>"052846"</f>
        <v>052846</v>
      </c>
      <c r="AD348">
        <v>338130</v>
      </c>
      <c r="AE348" t="s">
        <v>74</v>
      </c>
      <c r="AF348" t="s">
        <v>312</v>
      </c>
      <c r="AG348" t="s">
        <v>186</v>
      </c>
      <c r="AH348">
        <v>2</v>
      </c>
      <c r="AI348" s="7" t="str">
        <f t="shared" si="39"/>
        <v>37130688_08_2_1</v>
      </c>
      <c r="AJ348" t="s">
        <v>51</v>
      </c>
      <c r="AK348" t="s">
        <v>52</v>
      </c>
      <c r="AL348" s="1">
        <v>38811</v>
      </c>
      <c r="AM348">
        <v>5391</v>
      </c>
    </row>
    <row r="349" spans="1:41" x14ac:dyDescent="0.35">
      <c r="A349" s="3">
        <v>37130688</v>
      </c>
      <c r="B349" s="3" t="str">
        <f t="shared" si="40"/>
        <v>08-1-1</v>
      </c>
      <c r="C349">
        <v>1</v>
      </c>
      <c r="D349" t="s">
        <v>151</v>
      </c>
      <c r="E349">
        <v>10</v>
      </c>
      <c r="F349">
        <v>40</v>
      </c>
      <c r="G349" t="s">
        <v>203</v>
      </c>
      <c r="H349">
        <v>31.01899474</v>
      </c>
      <c r="I349" t="str">
        <f>"-102.22875394"</f>
        <v>-102.22875394</v>
      </c>
      <c r="J349">
        <v>31.01914639</v>
      </c>
      <c r="K349" t="str">
        <f>"-102.22916739"</f>
        <v>-102.22916739</v>
      </c>
      <c r="L349" t="s">
        <v>43</v>
      </c>
      <c r="M349">
        <v>522767</v>
      </c>
      <c r="N349">
        <v>562563</v>
      </c>
      <c r="O349" t="s">
        <v>295</v>
      </c>
      <c r="P349" t="s">
        <v>311</v>
      </c>
      <c r="Q349">
        <v>5391</v>
      </c>
      <c r="R349" t="s">
        <v>44</v>
      </c>
      <c r="T349" t="s">
        <v>257</v>
      </c>
      <c r="U349">
        <v>12</v>
      </c>
      <c r="V349">
        <v>12</v>
      </c>
      <c r="W349">
        <v>731</v>
      </c>
      <c r="X349" t="s">
        <v>195</v>
      </c>
      <c r="Y349">
        <v>5332</v>
      </c>
      <c r="Z349" t="s">
        <v>189</v>
      </c>
      <c r="AA349" t="s">
        <v>45</v>
      </c>
      <c r="AB349" t="str">
        <f t="shared" si="44"/>
        <v>08</v>
      </c>
      <c r="AC349">
        <v>26696</v>
      </c>
      <c r="AD349">
        <v>621750</v>
      </c>
      <c r="AE349" t="s">
        <v>233</v>
      </c>
      <c r="AF349" t="s">
        <v>313</v>
      </c>
      <c r="AG349" t="s">
        <v>269</v>
      </c>
      <c r="AH349">
        <v>1</v>
      </c>
      <c r="AI349" s="7" t="str">
        <f t="shared" si="39"/>
        <v>37130688_08_1_1</v>
      </c>
      <c r="AJ349" t="s">
        <v>51</v>
      </c>
      <c r="AK349" t="s">
        <v>52</v>
      </c>
      <c r="AL349" s="1">
        <v>38811</v>
      </c>
      <c r="AM349">
        <v>5391</v>
      </c>
    </row>
    <row r="350" spans="1:41" x14ac:dyDescent="0.35">
      <c r="A350" s="3">
        <v>37130688</v>
      </c>
      <c r="B350" s="3" t="str">
        <f t="shared" si="40"/>
        <v>08-   1A -1</v>
      </c>
      <c r="C350">
        <v>1</v>
      </c>
      <c r="D350" t="s">
        <v>151</v>
      </c>
      <c r="E350">
        <v>10</v>
      </c>
      <c r="F350">
        <v>40</v>
      </c>
      <c r="G350" t="s">
        <v>203</v>
      </c>
      <c r="H350">
        <v>31.01899474</v>
      </c>
      <c r="I350" t="str">
        <f>"-102.22875394"</f>
        <v>-102.22875394</v>
      </c>
      <c r="J350">
        <v>31.01914639</v>
      </c>
      <c r="K350" t="str">
        <f>"-102.22916739"</f>
        <v>-102.22916739</v>
      </c>
      <c r="L350" t="s">
        <v>43</v>
      </c>
      <c r="M350">
        <v>522767</v>
      </c>
      <c r="N350">
        <v>562563</v>
      </c>
      <c r="O350" t="s">
        <v>295</v>
      </c>
      <c r="P350" t="s">
        <v>311</v>
      </c>
      <c r="Q350">
        <v>5391</v>
      </c>
      <c r="R350" t="s">
        <v>44</v>
      </c>
      <c r="T350" t="s">
        <v>257</v>
      </c>
      <c r="U350">
        <v>12</v>
      </c>
      <c r="V350">
        <v>12</v>
      </c>
      <c r="W350">
        <v>731</v>
      </c>
      <c r="X350" t="s">
        <v>195</v>
      </c>
      <c r="Y350">
        <v>5332</v>
      </c>
      <c r="Z350" t="s">
        <v>189</v>
      </c>
      <c r="AA350" t="s">
        <v>45</v>
      </c>
      <c r="AB350" t="str">
        <f t="shared" si="44"/>
        <v>08</v>
      </c>
      <c r="AC350">
        <v>36957</v>
      </c>
      <c r="AD350">
        <v>562563</v>
      </c>
      <c r="AE350" t="s">
        <v>295</v>
      </c>
      <c r="AF350" t="s">
        <v>311</v>
      </c>
      <c r="AG350" t="s">
        <v>269</v>
      </c>
      <c r="AH350" t="s">
        <v>314</v>
      </c>
      <c r="AI350" s="7" t="str">
        <f t="shared" si="39"/>
        <v>37130688_08_   1A _1</v>
      </c>
      <c r="AJ350" t="s">
        <v>51</v>
      </c>
      <c r="AK350" t="s">
        <v>52</v>
      </c>
      <c r="AL350" s="1">
        <v>38811</v>
      </c>
      <c r="AM350">
        <v>5391</v>
      </c>
    </row>
    <row r="351" spans="1:41" x14ac:dyDescent="0.35">
      <c r="A351" s="3">
        <v>37130775</v>
      </c>
      <c r="B351" s="3" t="str">
        <f t="shared" si="40"/>
        <v>08-   4 T-4</v>
      </c>
      <c r="C351">
        <v>4</v>
      </c>
      <c r="D351" t="s">
        <v>237</v>
      </c>
      <c r="E351">
        <v>6</v>
      </c>
      <c r="F351">
        <v>40</v>
      </c>
      <c r="G351" t="s">
        <v>203</v>
      </c>
      <c r="H351">
        <v>31.025968599999999</v>
      </c>
      <c r="I351" t="str">
        <f>"-102.2487537"</f>
        <v>-102.2487537</v>
      </c>
      <c r="J351">
        <v>31.02611989</v>
      </c>
      <c r="K351" t="str">
        <f>"-102.24916766"</f>
        <v>-102.24916766</v>
      </c>
      <c r="L351" t="s">
        <v>65</v>
      </c>
      <c r="M351">
        <v>487801</v>
      </c>
      <c r="N351">
        <v>341428</v>
      </c>
      <c r="O351" t="s">
        <v>315</v>
      </c>
      <c r="P351" t="s">
        <v>316</v>
      </c>
      <c r="Q351">
        <v>5260</v>
      </c>
      <c r="R351" t="s">
        <v>44</v>
      </c>
      <c r="S351">
        <v>5610</v>
      </c>
      <c r="T351" t="s">
        <v>251</v>
      </c>
      <c r="U351">
        <v>12</v>
      </c>
      <c r="V351">
        <v>10</v>
      </c>
      <c r="W351">
        <v>467</v>
      </c>
      <c r="X351" t="s">
        <v>254</v>
      </c>
      <c r="Y351">
        <v>5369</v>
      </c>
      <c r="Z351" t="s">
        <v>189</v>
      </c>
      <c r="AA351" t="s">
        <v>152</v>
      </c>
      <c r="AB351" t="str">
        <f t="shared" si="44"/>
        <v>08</v>
      </c>
      <c r="AC351" t="str">
        <f>"055073"</f>
        <v>055073</v>
      </c>
      <c r="AD351">
        <v>341516</v>
      </c>
      <c r="AE351" t="s">
        <v>246</v>
      </c>
      <c r="AF351" t="s">
        <v>317</v>
      </c>
      <c r="AG351" t="s">
        <v>56</v>
      </c>
      <c r="AH351" t="s">
        <v>93</v>
      </c>
      <c r="AI351" s="7" t="str">
        <f t="shared" si="39"/>
        <v>37130775_08_   4 T_4</v>
      </c>
      <c r="AJ351" t="s">
        <v>51</v>
      </c>
      <c r="AK351" t="s">
        <v>52</v>
      </c>
    </row>
    <row r="352" spans="1:41" x14ac:dyDescent="0.35">
      <c r="A352" s="3">
        <v>37130775</v>
      </c>
      <c r="B352" s="3" t="str">
        <f t="shared" si="40"/>
        <v>08-   4 C-4</v>
      </c>
      <c r="C352">
        <v>4</v>
      </c>
      <c r="D352" t="s">
        <v>237</v>
      </c>
      <c r="E352">
        <v>6</v>
      </c>
      <c r="F352">
        <v>40</v>
      </c>
      <c r="G352" t="s">
        <v>203</v>
      </c>
      <c r="H352">
        <v>31.025968599999999</v>
      </c>
      <c r="I352" t="str">
        <f>"-102.2487537"</f>
        <v>-102.2487537</v>
      </c>
      <c r="J352">
        <v>31.02611989</v>
      </c>
      <c r="K352" t="str">
        <f>"-102.24916766"</f>
        <v>-102.24916766</v>
      </c>
      <c r="L352" t="s">
        <v>65</v>
      </c>
      <c r="M352">
        <v>487801</v>
      </c>
      <c r="N352">
        <v>341428</v>
      </c>
      <c r="O352" t="s">
        <v>315</v>
      </c>
      <c r="P352" t="s">
        <v>316</v>
      </c>
      <c r="Q352">
        <v>5260</v>
      </c>
      <c r="R352" t="s">
        <v>44</v>
      </c>
      <c r="S352">
        <v>5610</v>
      </c>
      <c r="T352" t="s">
        <v>251</v>
      </c>
      <c r="U352">
        <v>12</v>
      </c>
      <c r="V352">
        <v>10</v>
      </c>
      <c r="W352">
        <v>467</v>
      </c>
      <c r="X352" t="s">
        <v>254</v>
      </c>
      <c r="Y352">
        <v>5369</v>
      </c>
      <c r="Z352" t="s">
        <v>189</v>
      </c>
      <c r="AA352" t="s">
        <v>152</v>
      </c>
      <c r="AB352" t="str">
        <f t="shared" si="44"/>
        <v>08</v>
      </c>
      <c r="AC352" t="str">
        <f>"055074"</f>
        <v>055074</v>
      </c>
      <c r="AD352">
        <v>341516</v>
      </c>
      <c r="AE352" t="s">
        <v>246</v>
      </c>
      <c r="AF352" t="s">
        <v>317</v>
      </c>
      <c r="AG352" t="s">
        <v>145</v>
      </c>
      <c r="AH352" t="s">
        <v>94</v>
      </c>
      <c r="AI352" s="7" t="str">
        <f t="shared" si="39"/>
        <v>37130775_08_   4 C_4</v>
      </c>
      <c r="AJ352" t="s">
        <v>51</v>
      </c>
      <c r="AK352" t="s">
        <v>52</v>
      </c>
    </row>
    <row r="353" spans="1:39" x14ac:dyDescent="0.35">
      <c r="A353" s="3">
        <v>37130775</v>
      </c>
      <c r="B353" s="3" t="str">
        <f t="shared" si="40"/>
        <v>08-4-4</v>
      </c>
      <c r="C353">
        <v>4</v>
      </c>
      <c r="D353" t="s">
        <v>237</v>
      </c>
      <c r="E353">
        <v>6</v>
      </c>
      <c r="F353">
        <v>40</v>
      </c>
      <c r="G353" t="s">
        <v>203</v>
      </c>
      <c r="H353">
        <v>31.025968599999999</v>
      </c>
      <c r="I353" t="str">
        <f>"-102.2487537"</f>
        <v>-102.2487537</v>
      </c>
      <c r="J353">
        <v>31.02611989</v>
      </c>
      <c r="K353" t="str">
        <f>"-102.24916766"</f>
        <v>-102.24916766</v>
      </c>
      <c r="L353" t="s">
        <v>65</v>
      </c>
      <c r="M353">
        <v>487801</v>
      </c>
      <c r="N353">
        <v>341428</v>
      </c>
      <c r="O353" t="s">
        <v>315</v>
      </c>
      <c r="P353" t="s">
        <v>316</v>
      </c>
      <c r="Q353">
        <v>5260</v>
      </c>
      <c r="R353" t="s">
        <v>44</v>
      </c>
      <c r="S353">
        <v>5610</v>
      </c>
      <c r="T353" t="s">
        <v>251</v>
      </c>
      <c r="U353">
        <v>12</v>
      </c>
      <c r="V353">
        <v>10</v>
      </c>
      <c r="W353">
        <v>467</v>
      </c>
      <c r="X353" t="s">
        <v>254</v>
      </c>
      <c r="Y353">
        <v>5369</v>
      </c>
      <c r="Z353" t="s">
        <v>189</v>
      </c>
      <c r="AA353" t="s">
        <v>45</v>
      </c>
      <c r="AB353" t="str">
        <f t="shared" si="44"/>
        <v>08</v>
      </c>
      <c r="AC353">
        <v>36383</v>
      </c>
      <c r="AD353">
        <v>470787</v>
      </c>
      <c r="AE353" t="s">
        <v>318</v>
      </c>
      <c r="AF353" t="s">
        <v>316</v>
      </c>
      <c r="AG353" t="s">
        <v>269</v>
      </c>
      <c r="AH353">
        <v>4</v>
      </c>
      <c r="AI353" s="7" t="str">
        <f t="shared" si="39"/>
        <v>37130775_08_4_4</v>
      </c>
      <c r="AJ353" t="s">
        <v>72</v>
      </c>
      <c r="AK353" t="s">
        <v>73</v>
      </c>
    </row>
    <row r="354" spans="1:39" x14ac:dyDescent="0.35">
      <c r="A354" s="3">
        <v>37130778</v>
      </c>
      <c r="B354" s="3" t="str">
        <f t="shared" si="40"/>
        <v>--1</v>
      </c>
      <c r="C354">
        <v>1</v>
      </c>
      <c r="D354" t="s">
        <v>39</v>
      </c>
      <c r="E354">
        <v>3</v>
      </c>
      <c r="F354">
        <v>15</v>
      </c>
      <c r="G354" t="s">
        <v>40</v>
      </c>
      <c r="H354">
        <v>31.0224929</v>
      </c>
      <c r="I354" t="str">
        <f>"-102.2666738"</f>
        <v>-102.2666738</v>
      </c>
      <c r="J354">
        <v>31.02264418</v>
      </c>
      <c r="K354" t="str">
        <f>"-102.26708822"</f>
        <v>-102.26708822</v>
      </c>
      <c r="L354" t="s">
        <v>62</v>
      </c>
      <c r="Q354">
        <v>9125</v>
      </c>
      <c r="R354" t="s">
        <v>44</v>
      </c>
      <c r="AI354" s="7" t="str">
        <f t="shared" si="39"/>
        <v>37130778___1</v>
      </c>
    </row>
    <row r="355" spans="1:39" x14ac:dyDescent="0.35">
      <c r="A355" s="3">
        <v>37130807</v>
      </c>
      <c r="B355" s="3" t="str">
        <f t="shared" si="40"/>
        <v>08-1-1</v>
      </c>
      <c r="C355">
        <v>1</v>
      </c>
      <c r="D355" t="s">
        <v>151</v>
      </c>
      <c r="E355">
        <v>10</v>
      </c>
      <c r="F355">
        <v>55</v>
      </c>
      <c r="G355" t="s">
        <v>64</v>
      </c>
      <c r="H355">
        <v>2955966.3054461898</v>
      </c>
      <c r="I355" t="str">
        <f>"2288034.66994751"</f>
        <v>2288034.66994751</v>
      </c>
      <c r="J355">
        <v>31.025329939999999</v>
      </c>
      <c r="K355" t="str">
        <f>"-102.27821378"</f>
        <v>-102.27821378</v>
      </c>
      <c r="L355" t="s">
        <v>43</v>
      </c>
      <c r="M355">
        <v>805877</v>
      </c>
      <c r="N355">
        <v>621750</v>
      </c>
      <c r="O355" t="s">
        <v>233</v>
      </c>
      <c r="P355" t="s">
        <v>319</v>
      </c>
      <c r="Q355">
        <v>4800</v>
      </c>
      <c r="R355" t="s">
        <v>44</v>
      </c>
      <c r="S355">
        <v>9341</v>
      </c>
      <c r="T355" t="s">
        <v>240</v>
      </c>
      <c r="U355">
        <v>12</v>
      </c>
      <c r="V355">
        <v>6</v>
      </c>
      <c r="W355">
        <v>7459</v>
      </c>
      <c r="X355" t="s">
        <v>189</v>
      </c>
      <c r="Y355">
        <v>465</v>
      </c>
      <c r="Z355" t="s">
        <v>195</v>
      </c>
      <c r="AA355" t="s">
        <v>152</v>
      </c>
      <c r="AB355" t="str">
        <f t="shared" ref="AB355:AB370" si="45">"08"</f>
        <v>08</v>
      </c>
      <c r="AC355" t="str">
        <f>"055449"</f>
        <v>055449</v>
      </c>
      <c r="AD355">
        <v>621750</v>
      </c>
      <c r="AE355" t="s">
        <v>233</v>
      </c>
      <c r="AF355" t="s">
        <v>320</v>
      </c>
      <c r="AG355" t="s">
        <v>145</v>
      </c>
      <c r="AH355">
        <v>1</v>
      </c>
      <c r="AI355" s="7" t="str">
        <f t="shared" si="39"/>
        <v>37130807_08_1_1</v>
      </c>
      <c r="AJ355" t="s">
        <v>51</v>
      </c>
      <c r="AK355" t="s">
        <v>52</v>
      </c>
      <c r="AL355" s="1">
        <v>42389</v>
      </c>
      <c r="AM355">
        <v>4800</v>
      </c>
    </row>
    <row r="356" spans="1:39" x14ac:dyDescent="0.35">
      <c r="A356" s="3">
        <v>37130807</v>
      </c>
      <c r="B356" s="3" t="str">
        <f t="shared" si="40"/>
        <v>08-1-1</v>
      </c>
      <c r="C356">
        <v>1</v>
      </c>
      <c r="D356" t="s">
        <v>151</v>
      </c>
      <c r="E356">
        <v>10</v>
      </c>
      <c r="F356">
        <v>55</v>
      </c>
      <c r="G356" t="s">
        <v>64</v>
      </c>
      <c r="H356">
        <v>2955966.3054461898</v>
      </c>
      <c r="I356" t="str">
        <f>"2288034.66994751"</f>
        <v>2288034.66994751</v>
      </c>
      <c r="J356">
        <v>31.025329939999999</v>
      </c>
      <c r="K356" t="str">
        <f>"-102.27821378"</f>
        <v>-102.27821378</v>
      </c>
      <c r="L356" t="s">
        <v>43</v>
      </c>
      <c r="M356">
        <v>805877</v>
      </c>
      <c r="N356">
        <v>621750</v>
      </c>
      <c r="O356" t="s">
        <v>233</v>
      </c>
      <c r="P356" t="s">
        <v>319</v>
      </c>
      <c r="Q356">
        <v>4800</v>
      </c>
      <c r="R356" t="s">
        <v>44</v>
      </c>
      <c r="S356">
        <v>9341</v>
      </c>
      <c r="T356" t="s">
        <v>240</v>
      </c>
      <c r="U356">
        <v>12</v>
      </c>
      <c r="V356">
        <v>6</v>
      </c>
      <c r="W356">
        <v>7459</v>
      </c>
      <c r="X356" t="s">
        <v>189</v>
      </c>
      <c r="Y356">
        <v>465</v>
      </c>
      <c r="Z356" t="s">
        <v>195</v>
      </c>
      <c r="AA356" t="s">
        <v>45</v>
      </c>
      <c r="AB356" t="str">
        <f t="shared" si="45"/>
        <v>08</v>
      </c>
      <c r="AC356">
        <v>46666</v>
      </c>
      <c r="AD356">
        <v>621750</v>
      </c>
      <c r="AE356" t="s">
        <v>233</v>
      </c>
      <c r="AF356" t="s">
        <v>319</v>
      </c>
      <c r="AG356" t="s">
        <v>269</v>
      </c>
      <c r="AH356">
        <v>1</v>
      </c>
      <c r="AI356" s="7" t="str">
        <f t="shared" si="39"/>
        <v>37130807_08_1_1</v>
      </c>
      <c r="AJ356" t="s">
        <v>51</v>
      </c>
      <c r="AK356" t="s">
        <v>52</v>
      </c>
      <c r="AL356" s="1">
        <v>42389</v>
      </c>
      <c r="AM356">
        <v>4800</v>
      </c>
    </row>
    <row r="357" spans="1:39" x14ac:dyDescent="0.35">
      <c r="A357" s="3">
        <v>37131375</v>
      </c>
      <c r="B357" s="3" t="str">
        <f t="shared" si="40"/>
        <v>08-1-1</v>
      </c>
      <c r="C357">
        <v>1</v>
      </c>
      <c r="D357" t="s">
        <v>277</v>
      </c>
      <c r="E357">
        <v>8</v>
      </c>
      <c r="F357">
        <v>30</v>
      </c>
      <c r="G357" t="s">
        <v>321</v>
      </c>
      <c r="H357">
        <v>31.02446484</v>
      </c>
      <c r="I357" t="str">
        <f>"-102.29495298"</f>
        <v>-102.29495298</v>
      </c>
      <c r="J357">
        <v>31.024615829999998</v>
      </c>
      <c r="K357" t="str">
        <f>"-102.29536829"</f>
        <v>-102.29536829</v>
      </c>
      <c r="L357" t="s">
        <v>43</v>
      </c>
      <c r="M357">
        <v>162896</v>
      </c>
      <c r="N357">
        <v>864810</v>
      </c>
      <c r="O357" t="s">
        <v>308</v>
      </c>
      <c r="P357" t="s">
        <v>234</v>
      </c>
      <c r="Q357">
        <v>4800</v>
      </c>
      <c r="R357" t="s">
        <v>44</v>
      </c>
      <c r="AA357" t="s">
        <v>152</v>
      </c>
      <c r="AB357" t="str">
        <f t="shared" si="45"/>
        <v>08</v>
      </c>
      <c r="AC357">
        <v>101332</v>
      </c>
      <c r="AD357">
        <v>562563</v>
      </c>
      <c r="AE357" t="s">
        <v>295</v>
      </c>
      <c r="AF357" t="s">
        <v>234</v>
      </c>
      <c r="AG357" t="s">
        <v>145</v>
      </c>
      <c r="AH357">
        <v>1</v>
      </c>
      <c r="AI357" s="7" t="str">
        <f t="shared" si="39"/>
        <v>37131375_08_1_1</v>
      </c>
      <c r="AJ357" t="s">
        <v>51</v>
      </c>
      <c r="AK357" t="s">
        <v>52</v>
      </c>
      <c r="AL357" s="1">
        <v>38415</v>
      </c>
      <c r="AM357">
        <v>4800</v>
      </c>
    </row>
    <row r="358" spans="1:39" x14ac:dyDescent="0.35">
      <c r="A358" s="3">
        <v>37133244</v>
      </c>
      <c r="B358" s="3" t="str">
        <f t="shared" si="40"/>
        <v>08-   2A -2</v>
      </c>
      <c r="C358">
        <v>2</v>
      </c>
      <c r="D358" t="s">
        <v>41</v>
      </c>
      <c r="E358">
        <v>7</v>
      </c>
      <c r="F358">
        <v>40</v>
      </c>
      <c r="G358" t="s">
        <v>203</v>
      </c>
      <c r="H358">
        <v>31.013980799999999</v>
      </c>
      <c r="I358" t="str">
        <f>"-102.23010571"</f>
        <v>-102.23010571</v>
      </c>
      <c r="J358">
        <v>31.01413264</v>
      </c>
      <c r="K358" t="str">
        <f>"-102.23051914"</f>
        <v>-102.23051914</v>
      </c>
      <c r="L358" t="s">
        <v>43</v>
      </c>
      <c r="M358">
        <v>522770</v>
      </c>
      <c r="N358">
        <v>562563</v>
      </c>
      <c r="O358" t="s">
        <v>295</v>
      </c>
      <c r="P358" t="s">
        <v>311</v>
      </c>
      <c r="Q358">
        <v>4750</v>
      </c>
      <c r="R358" t="s">
        <v>44</v>
      </c>
      <c r="T358" t="s">
        <v>282</v>
      </c>
      <c r="U358">
        <v>12</v>
      </c>
      <c r="V358">
        <v>12</v>
      </c>
      <c r="W358">
        <v>795</v>
      </c>
      <c r="X358" t="s">
        <v>195</v>
      </c>
      <c r="Y358">
        <v>3462</v>
      </c>
      <c r="Z358" t="s">
        <v>189</v>
      </c>
      <c r="AA358" t="s">
        <v>45</v>
      </c>
      <c r="AB358" t="str">
        <f t="shared" si="45"/>
        <v>08</v>
      </c>
      <c r="AC358">
        <v>36957</v>
      </c>
      <c r="AD358">
        <v>562563</v>
      </c>
      <c r="AE358" t="s">
        <v>295</v>
      </c>
      <c r="AF358" t="s">
        <v>311</v>
      </c>
      <c r="AG358" t="s">
        <v>269</v>
      </c>
      <c r="AH358" t="s">
        <v>322</v>
      </c>
      <c r="AI358" s="7" t="str">
        <f t="shared" si="39"/>
        <v>37133244_08_   2A _2</v>
      </c>
      <c r="AJ358" t="s">
        <v>51</v>
      </c>
      <c r="AK358" t="s">
        <v>52</v>
      </c>
      <c r="AL358" s="1">
        <v>38807</v>
      </c>
      <c r="AM358">
        <v>4750</v>
      </c>
    </row>
    <row r="359" spans="1:39" x14ac:dyDescent="0.35">
      <c r="A359" s="3">
        <v>37133745</v>
      </c>
      <c r="B359" s="3" t="str">
        <f t="shared" si="40"/>
        <v>08-1-1</v>
      </c>
      <c r="C359">
        <v>1</v>
      </c>
      <c r="D359" t="s">
        <v>41</v>
      </c>
      <c r="E359">
        <v>7</v>
      </c>
      <c r="F359">
        <v>40</v>
      </c>
      <c r="G359" t="s">
        <v>203</v>
      </c>
      <c r="H359">
        <v>31.0197903</v>
      </c>
      <c r="I359" t="str">
        <f>"-102.26677242"</f>
        <v>-102.26677242</v>
      </c>
      <c r="J359">
        <v>31.019941660000001</v>
      </c>
      <c r="K359" t="str">
        <f>"-102.26718678"</f>
        <v>-102.26718678</v>
      </c>
      <c r="L359" t="s">
        <v>43</v>
      </c>
      <c r="M359">
        <v>521597</v>
      </c>
      <c r="N359">
        <v>562563</v>
      </c>
      <c r="O359" t="s">
        <v>295</v>
      </c>
      <c r="P359" t="s">
        <v>309</v>
      </c>
      <c r="Q359">
        <v>5516</v>
      </c>
      <c r="R359" t="s">
        <v>44</v>
      </c>
      <c r="S359">
        <v>5614</v>
      </c>
      <c r="T359" t="s">
        <v>251</v>
      </c>
      <c r="U359">
        <v>12</v>
      </c>
      <c r="V359">
        <v>8</v>
      </c>
      <c r="W359">
        <v>652</v>
      </c>
      <c r="X359" t="s">
        <v>68</v>
      </c>
      <c r="Y359">
        <v>4008</v>
      </c>
      <c r="Z359" t="s">
        <v>225</v>
      </c>
      <c r="AA359" t="s">
        <v>45</v>
      </c>
      <c r="AB359" t="str">
        <f t="shared" si="45"/>
        <v>08</v>
      </c>
      <c r="AC359">
        <v>27985</v>
      </c>
      <c r="AD359">
        <v>864810</v>
      </c>
      <c r="AE359" t="s">
        <v>308</v>
      </c>
      <c r="AF359" t="s">
        <v>309</v>
      </c>
      <c r="AG359" t="s">
        <v>276</v>
      </c>
      <c r="AH359">
        <v>1</v>
      </c>
      <c r="AI359" s="7" t="str">
        <f t="shared" si="39"/>
        <v>37133745_08_1_1</v>
      </c>
      <c r="AJ359" t="s">
        <v>51</v>
      </c>
      <c r="AK359" t="s">
        <v>52</v>
      </c>
      <c r="AL359" s="1">
        <v>37838</v>
      </c>
      <c r="AM359">
        <v>5516</v>
      </c>
    </row>
    <row r="360" spans="1:39" x14ac:dyDescent="0.35">
      <c r="A360" s="3">
        <v>37133745</v>
      </c>
      <c r="B360" s="3" t="str">
        <f t="shared" si="40"/>
        <v>08-1-1</v>
      </c>
      <c r="C360">
        <v>1</v>
      </c>
      <c r="D360" t="s">
        <v>41</v>
      </c>
      <c r="E360">
        <v>7</v>
      </c>
      <c r="F360">
        <v>40</v>
      </c>
      <c r="G360" t="s">
        <v>203</v>
      </c>
      <c r="H360">
        <v>31.0197903</v>
      </c>
      <c r="I360" t="str">
        <f>"-102.26677242"</f>
        <v>-102.26677242</v>
      </c>
      <c r="J360">
        <v>31.019941660000001</v>
      </c>
      <c r="K360" t="str">
        <f>"-102.26718678"</f>
        <v>-102.26718678</v>
      </c>
      <c r="L360" t="s">
        <v>43</v>
      </c>
      <c r="M360">
        <v>521597</v>
      </c>
      <c r="N360">
        <v>562563</v>
      </c>
      <c r="O360" t="s">
        <v>295</v>
      </c>
      <c r="P360" t="s">
        <v>309</v>
      </c>
      <c r="Q360">
        <v>5516</v>
      </c>
      <c r="R360" t="s">
        <v>44</v>
      </c>
      <c r="S360">
        <v>5614</v>
      </c>
      <c r="T360" t="s">
        <v>251</v>
      </c>
      <c r="U360">
        <v>12</v>
      </c>
      <c r="V360">
        <v>8</v>
      </c>
      <c r="W360">
        <v>652</v>
      </c>
      <c r="X360" t="s">
        <v>68</v>
      </c>
      <c r="Y360">
        <v>4008</v>
      </c>
      <c r="Z360" t="s">
        <v>225</v>
      </c>
      <c r="AA360" t="s">
        <v>45</v>
      </c>
      <c r="AB360" t="str">
        <f t="shared" si="45"/>
        <v>08</v>
      </c>
      <c r="AC360">
        <v>36984</v>
      </c>
      <c r="AD360">
        <v>562563</v>
      </c>
      <c r="AE360" t="s">
        <v>295</v>
      </c>
      <c r="AF360" t="s">
        <v>309</v>
      </c>
      <c r="AG360" t="s">
        <v>276</v>
      </c>
      <c r="AH360">
        <v>1</v>
      </c>
      <c r="AI360" s="7" t="str">
        <f t="shared" si="39"/>
        <v>37133745_08_1_1</v>
      </c>
      <c r="AJ360" t="s">
        <v>51</v>
      </c>
      <c r="AK360" t="s">
        <v>52</v>
      </c>
      <c r="AL360" s="1">
        <v>37838</v>
      </c>
      <c r="AM360">
        <v>5516</v>
      </c>
    </row>
    <row r="361" spans="1:39" x14ac:dyDescent="0.35">
      <c r="A361" s="3">
        <v>37134233</v>
      </c>
      <c r="B361" s="3" t="str">
        <f t="shared" si="40"/>
        <v>08-1-1</v>
      </c>
      <c r="C361">
        <v>1</v>
      </c>
      <c r="D361" t="s">
        <v>277</v>
      </c>
      <c r="E361">
        <v>8</v>
      </c>
      <c r="F361">
        <v>15</v>
      </c>
      <c r="G361" t="s">
        <v>40</v>
      </c>
      <c r="H361">
        <v>2952956.4488188899</v>
      </c>
      <c r="I361" t="str">
        <f>"2283810.79232283"</f>
        <v>2283810.79232283</v>
      </c>
      <c r="J361">
        <v>31.016780990000001</v>
      </c>
      <c r="K361" t="str">
        <f>"-102.29151174"</f>
        <v>-102.29151174</v>
      </c>
      <c r="L361" t="s">
        <v>43</v>
      </c>
      <c r="M361">
        <v>187780</v>
      </c>
      <c r="N361">
        <v>864810</v>
      </c>
      <c r="O361" t="s">
        <v>308</v>
      </c>
      <c r="P361" t="s">
        <v>323</v>
      </c>
      <c r="Q361">
        <v>4930</v>
      </c>
      <c r="R361" t="s">
        <v>44</v>
      </c>
      <c r="AA361" t="s">
        <v>152</v>
      </c>
      <c r="AB361" t="str">
        <f t="shared" si="45"/>
        <v>08</v>
      </c>
      <c r="AC361">
        <v>104796</v>
      </c>
      <c r="AD361">
        <v>688474</v>
      </c>
      <c r="AE361" t="s">
        <v>324</v>
      </c>
      <c r="AF361" t="s">
        <v>325</v>
      </c>
      <c r="AG361" t="s">
        <v>145</v>
      </c>
      <c r="AH361">
        <v>1</v>
      </c>
      <c r="AI361" s="7" t="str">
        <f t="shared" si="39"/>
        <v>37134233_08_1_1</v>
      </c>
      <c r="AJ361" t="s">
        <v>51</v>
      </c>
      <c r="AK361" t="s">
        <v>52</v>
      </c>
      <c r="AL361" s="1">
        <v>44295</v>
      </c>
      <c r="AM361">
        <v>4930</v>
      </c>
    </row>
    <row r="362" spans="1:39" x14ac:dyDescent="0.35">
      <c r="A362" s="3">
        <v>37134544</v>
      </c>
      <c r="B362" s="3" t="str">
        <f t="shared" si="40"/>
        <v>08-1-1</v>
      </c>
      <c r="C362">
        <v>1</v>
      </c>
      <c r="D362" t="s">
        <v>41</v>
      </c>
      <c r="E362">
        <v>7</v>
      </c>
      <c r="F362">
        <v>15</v>
      </c>
      <c r="G362" t="s">
        <v>40</v>
      </c>
      <c r="H362">
        <v>31.0291964</v>
      </c>
      <c r="I362" t="str">
        <f>"-102.2262675"</f>
        <v>-102.2262675</v>
      </c>
      <c r="J362">
        <v>31.029347789999999</v>
      </c>
      <c r="K362" t="str">
        <f>"-102.22668111"</f>
        <v>-102.22668111</v>
      </c>
      <c r="L362" t="s">
        <v>43</v>
      </c>
      <c r="M362">
        <v>211964</v>
      </c>
      <c r="N362">
        <v>875230</v>
      </c>
      <c r="O362" t="s">
        <v>287</v>
      </c>
      <c r="P362" t="s">
        <v>326</v>
      </c>
      <c r="Q362">
        <v>5500</v>
      </c>
      <c r="R362" t="s">
        <v>44</v>
      </c>
      <c r="AA362" t="s">
        <v>45</v>
      </c>
      <c r="AB362" t="str">
        <f t="shared" si="45"/>
        <v>08</v>
      </c>
      <c r="AC362">
        <v>28688</v>
      </c>
      <c r="AD362">
        <v>875230</v>
      </c>
      <c r="AE362" t="s">
        <v>287</v>
      </c>
      <c r="AF362" t="s">
        <v>326</v>
      </c>
      <c r="AG362" t="s">
        <v>186</v>
      </c>
      <c r="AH362">
        <v>1</v>
      </c>
      <c r="AI362" s="7" t="str">
        <f t="shared" si="39"/>
        <v>37134544_08_1_1</v>
      </c>
      <c r="AJ362" t="s">
        <v>51</v>
      </c>
      <c r="AK362" t="s">
        <v>52</v>
      </c>
      <c r="AL362" s="1">
        <v>31510</v>
      </c>
      <c r="AM362">
        <v>5500</v>
      </c>
    </row>
    <row r="363" spans="1:39" x14ac:dyDescent="0.35">
      <c r="A363" s="3">
        <v>37134606</v>
      </c>
      <c r="B363" s="3" t="str">
        <f t="shared" si="40"/>
        <v>08-3-3</v>
      </c>
      <c r="C363">
        <v>3</v>
      </c>
      <c r="D363" t="s">
        <v>63</v>
      </c>
      <c r="E363">
        <v>4</v>
      </c>
      <c r="F363">
        <v>40</v>
      </c>
      <c r="G363" t="s">
        <v>203</v>
      </c>
      <c r="H363">
        <v>31.015265679999999</v>
      </c>
      <c r="I363" t="str">
        <f>"-102.23967807"</f>
        <v>-102.23967807</v>
      </c>
      <c r="J363">
        <v>31.015417410000001</v>
      </c>
      <c r="K363" t="str">
        <f>"-102.24009173"</f>
        <v>-102.24009173</v>
      </c>
      <c r="L363" t="s">
        <v>65</v>
      </c>
      <c r="M363">
        <v>503959</v>
      </c>
      <c r="N363">
        <v>562563</v>
      </c>
      <c r="O363" t="s">
        <v>295</v>
      </c>
      <c r="P363" t="s">
        <v>327</v>
      </c>
      <c r="Q363">
        <v>4900</v>
      </c>
      <c r="R363" t="s">
        <v>44</v>
      </c>
      <c r="S363">
        <v>294</v>
      </c>
      <c r="T363" t="s">
        <v>253</v>
      </c>
      <c r="U363">
        <v>12</v>
      </c>
      <c r="V363">
        <v>11</v>
      </c>
      <c r="W363">
        <v>2819</v>
      </c>
      <c r="X363" t="s">
        <v>189</v>
      </c>
      <c r="Y363">
        <v>1194</v>
      </c>
      <c r="Z363" t="s">
        <v>195</v>
      </c>
      <c r="AA363" t="s">
        <v>45</v>
      </c>
      <c r="AB363" t="str">
        <f t="shared" si="45"/>
        <v>08</v>
      </c>
      <c r="AC363">
        <v>21998</v>
      </c>
      <c r="AD363">
        <v>200560</v>
      </c>
      <c r="AE363" t="s">
        <v>272</v>
      </c>
      <c r="AF363" t="s">
        <v>296</v>
      </c>
      <c r="AG363" t="s">
        <v>269</v>
      </c>
      <c r="AH363">
        <v>3</v>
      </c>
      <c r="AI363" s="7" t="str">
        <f t="shared" si="39"/>
        <v>37134606_08_3_3</v>
      </c>
      <c r="AJ363" t="s">
        <v>72</v>
      </c>
      <c r="AK363" t="s">
        <v>73</v>
      </c>
    </row>
    <row r="364" spans="1:39" x14ac:dyDescent="0.35">
      <c r="A364" s="3">
        <v>37136228</v>
      </c>
      <c r="B364" s="3" t="str">
        <f t="shared" si="40"/>
        <v>08-1-1</v>
      </c>
      <c r="C364">
        <v>1</v>
      </c>
      <c r="D364" t="s">
        <v>63</v>
      </c>
      <c r="E364">
        <v>4</v>
      </c>
      <c r="F364">
        <v>40</v>
      </c>
      <c r="G364" t="s">
        <v>203</v>
      </c>
      <c r="H364">
        <v>31.024878699999999</v>
      </c>
      <c r="I364" t="str">
        <f>"-102.2399463"</f>
        <v>-102.2399463</v>
      </c>
      <c r="J364">
        <v>31.025030099999999</v>
      </c>
      <c r="K364" t="str">
        <f>"-102.24036008"</f>
        <v>-102.24036008</v>
      </c>
      <c r="L364" t="s">
        <v>65</v>
      </c>
      <c r="M364">
        <v>415843</v>
      </c>
      <c r="N364">
        <v>762845</v>
      </c>
      <c r="O364" t="s">
        <v>196</v>
      </c>
      <c r="P364" t="s">
        <v>328</v>
      </c>
      <c r="Q364">
        <v>5158</v>
      </c>
      <c r="R364" t="s">
        <v>44</v>
      </c>
      <c r="S364">
        <v>294</v>
      </c>
      <c r="T364" t="s">
        <v>329</v>
      </c>
      <c r="U364">
        <v>12</v>
      </c>
      <c r="V364">
        <v>11</v>
      </c>
      <c r="W364">
        <v>671</v>
      </c>
      <c r="X364" t="s">
        <v>254</v>
      </c>
      <c r="Y364">
        <v>6232</v>
      </c>
      <c r="Z364" t="s">
        <v>189</v>
      </c>
      <c r="AA364" t="s">
        <v>45</v>
      </c>
      <c r="AB364" t="str">
        <f t="shared" si="45"/>
        <v>08</v>
      </c>
      <c r="AC364">
        <v>32585</v>
      </c>
      <c r="AD364">
        <v>770731</v>
      </c>
      <c r="AE364" t="s">
        <v>181</v>
      </c>
      <c r="AF364" t="s">
        <v>328</v>
      </c>
      <c r="AG364" t="s">
        <v>330</v>
      </c>
      <c r="AH364">
        <v>1</v>
      </c>
      <c r="AI364" s="7" t="str">
        <f t="shared" si="39"/>
        <v>37136228_08_1_1</v>
      </c>
      <c r="AJ364" t="s">
        <v>51</v>
      </c>
      <c r="AK364" t="s">
        <v>52</v>
      </c>
    </row>
    <row r="365" spans="1:39" x14ac:dyDescent="0.35">
      <c r="A365" s="3">
        <v>37136228</v>
      </c>
      <c r="B365" s="3" t="str">
        <f t="shared" si="40"/>
        <v>08-1-1</v>
      </c>
      <c r="C365">
        <v>1</v>
      </c>
      <c r="D365" t="s">
        <v>63</v>
      </c>
      <c r="E365">
        <v>4</v>
      </c>
      <c r="F365">
        <v>40</v>
      </c>
      <c r="G365" t="s">
        <v>203</v>
      </c>
      <c r="H365">
        <v>31.024878699999999</v>
      </c>
      <c r="I365" t="str">
        <f>"-102.2399463"</f>
        <v>-102.2399463</v>
      </c>
      <c r="J365">
        <v>31.025030099999999</v>
      </c>
      <c r="K365" t="str">
        <f>"-102.24036008"</f>
        <v>-102.24036008</v>
      </c>
      <c r="L365" t="s">
        <v>65</v>
      </c>
      <c r="M365">
        <v>415843</v>
      </c>
      <c r="N365">
        <v>762845</v>
      </c>
      <c r="O365" t="s">
        <v>196</v>
      </c>
      <c r="P365" t="s">
        <v>328</v>
      </c>
      <c r="Q365">
        <v>5158</v>
      </c>
      <c r="R365" t="s">
        <v>44</v>
      </c>
      <c r="S365">
        <v>294</v>
      </c>
      <c r="T365" t="s">
        <v>329</v>
      </c>
      <c r="U365">
        <v>12</v>
      </c>
      <c r="V365">
        <v>11</v>
      </c>
      <c r="W365">
        <v>671</v>
      </c>
      <c r="X365" t="s">
        <v>254</v>
      </c>
      <c r="Y365">
        <v>6232</v>
      </c>
      <c r="Z365" t="s">
        <v>189</v>
      </c>
      <c r="AA365" t="s">
        <v>45</v>
      </c>
      <c r="AB365" t="str">
        <f t="shared" si="45"/>
        <v>08</v>
      </c>
      <c r="AC365">
        <v>33967</v>
      </c>
      <c r="AD365">
        <v>606027</v>
      </c>
      <c r="AE365" t="s">
        <v>331</v>
      </c>
      <c r="AF365" t="s">
        <v>328</v>
      </c>
      <c r="AG365" t="s">
        <v>269</v>
      </c>
      <c r="AH365">
        <v>1</v>
      </c>
      <c r="AI365" s="7" t="str">
        <f t="shared" si="39"/>
        <v>37136228_08_1_1</v>
      </c>
      <c r="AJ365" t="s">
        <v>72</v>
      </c>
      <c r="AK365" t="s">
        <v>73</v>
      </c>
    </row>
    <row r="366" spans="1:39" x14ac:dyDescent="0.35">
      <c r="A366" s="3">
        <v>37136247</v>
      </c>
      <c r="B366" s="3" t="str">
        <f t="shared" si="40"/>
        <v>08-2-2</v>
      </c>
      <c r="C366">
        <v>2</v>
      </c>
      <c r="D366" t="s">
        <v>41</v>
      </c>
      <c r="E366">
        <v>7</v>
      </c>
      <c r="F366">
        <v>40</v>
      </c>
      <c r="G366" t="s">
        <v>203</v>
      </c>
      <c r="H366">
        <v>31.027703599999999</v>
      </c>
      <c r="I366" t="str">
        <f>"-102.2376172"</f>
        <v>-102.2376172</v>
      </c>
      <c r="J366">
        <v>31.027854940000001</v>
      </c>
      <c r="K366" t="str">
        <f>"-102.23803099"</f>
        <v>-102.23803099</v>
      </c>
      <c r="L366" t="s">
        <v>43</v>
      </c>
      <c r="M366">
        <v>373336</v>
      </c>
      <c r="N366">
        <v>770731</v>
      </c>
      <c r="O366" t="s">
        <v>181</v>
      </c>
      <c r="P366" t="s">
        <v>328</v>
      </c>
      <c r="Q366">
        <v>5172</v>
      </c>
      <c r="R366" t="s">
        <v>44</v>
      </c>
      <c r="T366" t="s">
        <v>332</v>
      </c>
      <c r="U366">
        <v>12</v>
      </c>
      <c r="V366">
        <v>11</v>
      </c>
      <c r="W366">
        <v>1200</v>
      </c>
      <c r="X366" t="s">
        <v>254</v>
      </c>
      <c r="Y366">
        <v>7380</v>
      </c>
      <c r="Z366" t="s">
        <v>189</v>
      </c>
      <c r="AA366" t="s">
        <v>45</v>
      </c>
      <c r="AB366" t="str">
        <f t="shared" si="45"/>
        <v>08</v>
      </c>
      <c r="AC366">
        <v>32585</v>
      </c>
      <c r="AD366">
        <v>770731</v>
      </c>
      <c r="AE366" t="s">
        <v>181</v>
      </c>
      <c r="AF366" t="s">
        <v>328</v>
      </c>
      <c r="AG366" t="s">
        <v>330</v>
      </c>
      <c r="AH366">
        <v>2</v>
      </c>
      <c r="AI366" s="7" t="str">
        <f t="shared" si="39"/>
        <v>37136247_08_2_2</v>
      </c>
      <c r="AJ366" t="s">
        <v>51</v>
      </c>
      <c r="AK366" t="s">
        <v>52</v>
      </c>
      <c r="AL366" s="1">
        <v>36411</v>
      </c>
      <c r="AM366">
        <v>5172</v>
      </c>
    </row>
    <row r="367" spans="1:39" x14ac:dyDescent="0.35">
      <c r="A367" s="3">
        <v>37136248</v>
      </c>
      <c r="B367" s="3" t="str">
        <f t="shared" si="40"/>
        <v>08-1-1</v>
      </c>
      <c r="C367">
        <v>1</v>
      </c>
      <c r="D367" t="s">
        <v>237</v>
      </c>
      <c r="E367">
        <v>6</v>
      </c>
      <c r="F367">
        <v>40</v>
      </c>
      <c r="G367" t="s">
        <v>203</v>
      </c>
      <c r="H367">
        <v>31.03111766</v>
      </c>
      <c r="I367" t="str">
        <f>"-102.23590443"</f>
        <v>-102.23590443</v>
      </c>
      <c r="J367">
        <v>31.03126885</v>
      </c>
      <c r="K367" t="str">
        <f>"-102.23631831"</f>
        <v>-102.23631831</v>
      </c>
      <c r="L367" t="s">
        <v>65</v>
      </c>
      <c r="M367">
        <v>753808</v>
      </c>
      <c r="N367">
        <v>770731</v>
      </c>
      <c r="O367" t="s">
        <v>181</v>
      </c>
      <c r="P367" t="s">
        <v>333</v>
      </c>
      <c r="Q367">
        <v>5199</v>
      </c>
      <c r="R367" t="s">
        <v>44</v>
      </c>
      <c r="S367">
        <v>294</v>
      </c>
      <c r="T367" t="s">
        <v>282</v>
      </c>
      <c r="U367">
        <v>12</v>
      </c>
      <c r="V367">
        <v>11</v>
      </c>
      <c r="W367">
        <v>8701</v>
      </c>
      <c r="X367" t="s">
        <v>334</v>
      </c>
      <c r="Y367">
        <v>1500</v>
      </c>
      <c r="Z367" t="s">
        <v>335</v>
      </c>
      <c r="AA367" t="s">
        <v>152</v>
      </c>
      <c r="AB367" t="str">
        <f t="shared" si="45"/>
        <v>08</v>
      </c>
      <c r="AC367">
        <v>219383</v>
      </c>
      <c r="AD367">
        <v>606027</v>
      </c>
      <c r="AE367" t="s">
        <v>331</v>
      </c>
      <c r="AF367" t="s">
        <v>333</v>
      </c>
      <c r="AG367" t="s">
        <v>330</v>
      </c>
      <c r="AH367">
        <v>1</v>
      </c>
      <c r="AI367" s="7" t="str">
        <f t="shared" si="39"/>
        <v>37136248_08_1_1</v>
      </c>
      <c r="AJ367" t="s">
        <v>51</v>
      </c>
      <c r="AK367" t="s">
        <v>52</v>
      </c>
    </row>
    <row r="368" spans="1:39" x14ac:dyDescent="0.35">
      <c r="A368" s="3">
        <v>37136248</v>
      </c>
      <c r="B368" s="3" t="str">
        <f t="shared" si="40"/>
        <v>08-1-1</v>
      </c>
      <c r="C368">
        <v>1</v>
      </c>
      <c r="D368" t="s">
        <v>237</v>
      </c>
      <c r="E368">
        <v>6</v>
      </c>
      <c r="F368">
        <v>40</v>
      </c>
      <c r="G368" t="s">
        <v>203</v>
      </c>
      <c r="H368">
        <v>31.03111766</v>
      </c>
      <c r="I368" t="str">
        <f>"-102.23590443"</f>
        <v>-102.23590443</v>
      </c>
      <c r="J368">
        <v>31.03126885</v>
      </c>
      <c r="K368" t="str">
        <f>"-102.23631831"</f>
        <v>-102.23631831</v>
      </c>
      <c r="L368" t="s">
        <v>65</v>
      </c>
      <c r="M368">
        <v>753808</v>
      </c>
      <c r="N368">
        <v>770731</v>
      </c>
      <c r="O368" t="s">
        <v>181</v>
      </c>
      <c r="P368" t="s">
        <v>333</v>
      </c>
      <c r="Q368">
        <v>5199</v>
      </c>
      <c r="R368" t="s">
        <v>44</v>
      </c>
      <c r="S368">
        <v>294</v>
      </c>
      <c r="T368" t="s">
        <v>282</v>
      </c>
      <c r="U368">
        <v>12</v>
      </c>
      <c r="V368">
        <v>11</v>
      </c>
      <c r="W368">
        <v>8701</v>
      </c>
      <c r="X368" t="s">
        <v>334</v>
      </c>
      <c r="Y368">
        <v>1500</v>
      </c>
      <c r="Z368" t="s">
        <v>335</v>
      </c>
      <c r="AA368" t="s">
        <v>45</v>
      </c>
      <c r="AB368" t="str">
        <f t="shared" si="45"/>
        <v>08</v>
      </c>
      <c r="AC368">
        <v>32766</v>
      </c>
      <c r="AD368">
        <v>606027</v>
      </c>
      <c r="AE368" t="s">
        <v>331</v>
      </c>
      <c r="AF368" t="s">
        <v>333</v>
      </c>
      <c r="AG368" t="s">
        <v>330</v>
      </c>
      <c r="AH368">
        <v>1</v>
      </c>
      <c r="AI368" s="7" t="str">
        <f t="shared" si="39"/>
        <v>37136248_08_1_1</v>
      </c>
      <c r="AJ368" t="s">
        <v>51</v>
      </c>
      <c r="AK368" t="s">
        <v>52</v>
      </c>
    </row>
    <row r="369" spans="1:39" x14ac:dyDescent="0.35">
      <c r="A369" s="3">
        <v>37136248</v>
      </c>
      <c r="B369" s="3" t="str">
        <f t="shared" si="40"/>
        <v>08-3-1</v>
      </c>
      <c r="C369">
        <v>1</v>
      </c>
      <c r="D369" t="s">
        <v>237</v>
      </c>
      <c r="E369">
        <v>6</v>
      </c>
      <c r="F369">
        <v>40</v>
      </c>
      <c r="G369" t="s">
        <v>203</v>
      </c>
      <c r="H369">
        <v>31.03111766</v>
      </c>
      <c r="I369" t="str">
        <f>"-102.23590443"</f>
        <v>-102.23590443</v>
      </c>
      <c r="J369">
        <v>31.03126885</v>
      </c>
      <c r="K369" t="str">
        <f>"-102.23631831"</f>
        <v>-102.23631831</v>
      </c>
      <c r="L369" t="s">
        <v>65</v>
      </c>
      <c r="M369">
        <v>753808</v>
      </c>
      <c r="N369">
        <v>770731</v>
      </c>
      <c r="O369" t="s">
        <v>181</v>
      </c>
      <c r="P369" t="s">
        <v>333</v>
      </c>
      <c r="Q369">
        <v>5199</v>
      </c>
      <c r="R369" t="s">
        <v>44</v>
      </c>
      <c r="S369">
        <v>294</v>
      </c>
      <c r="T369" t="s">
        <v>282</v>
      </c>
      <c r="U369">
        <v>12</v>
      </c>
      <c r="V369">
        <v>11</v>
      </c>
      <c r="W369">
        <v>8701</v>
      </c>
      <c r="X369" t="s">
        <v>334</v>
      </c>
      <c r="Y369">
        <v>1500</v>
      </c>
      <c r="Z369" t="s">
        <v>335</v>
      </c>
      <c r="AA369" t="s">
        <v>45</v>
      </c>
      <c r="AB369" t="str">
        <f t="shared" si="45"/>
        <v>08</v>
      </c>
      <c r="AC369">
        <v>32766</v>
      </c>
      <c r="AD369">
        <v>606027</v>
      </c>
      <c r="AE369" t="s">
        <v>331</v>
      </c>
      <c r="AF369" t="s">
        <v>333</v>
      </c>
      <c r="AG369" t="s">
        <v>330</v>
      </c>
      <c r="AH369">
        <v>3</v>
      </c>
      <c r="AI369" s="7" t="str">
        <f t="shared" si="39"/>
        <v>37136248_08_3_1</v>
      </c>
      <c r="AJ369" t="s">
        <v>72</v>
      </c>
      <c r="AK369" t="s">
        <v>73</v>
      </c>
    </row>
    <row r="370" spans="1:39" x14ac:dyDescent="0.35">
      <c r="A370" s="3">
        <v>37136277</v>
      </c>
      <c r="B370" s="3" t="str">
        <f t="shared" si="40"/>
        <v>08-1-1</v>
      </c>
      <c r="C370">
        <v>1</v>
      </c>
      <c r="D370" t="s">
        <v>41</v>
      </c>
      <c r="E370">
        <v>7</v>
      </c>
      <c r="F370">
        <v>40</v>
      </c>
      <c r="G370" t="s">
        <v>203</v>
      </c>
      <c r="H370">
        <v>31.025747200000001</v>
      </c>
      <c r="I370" t="str">
        <f>"-102.2319954"</f>
        <v>-102.2319954</v>
      </c>
      <c r="J370">
        <v>31.025898649999998</v>
      </c>
      <c r="K370" t="str">
        <f>"-102.23240906"</f>
        <v>-102.23240906</v>
      </c>
      <c r="L370" t="s">
        <v>43</v>
      </c>
      <c r="M370">
        <v>378442</v>
      </c>
      <c r="N370">
        <v>770731</v>
      </c>
      <c r="O370" t="s">
        <v>181</v>
      </c>
      <c r="P370" t="s">
        <v>336</v>
      </c>
      <c r="Q370">
        <v>5350</v>
      </c>
      <c r="R370" t="s">
        <v>44</v>
      </c>
      <c r="T370" t="s">
        <v>337</v>
      </c>
      <c r="U370">
        <v>12</v>
      </c>
      <c r="V370">
        <v>12</v>
      </c>
      <c r="W370">
        <v>467</v>
      </c>
      <c r="X370" t="s">
        <v>254</v>
      </c>
      <c r="Y370">
        <v>7557</v>
      </c>
      <c r="Z370" t="s">
        <v>189</v>
      </c>
      <c r="AA370" t="s">
        <v>45</v>
      </c>
      <c r="AB370" t="str">
        <f t="shared" si="45"/>
        <v>08</v>
      </c>
      <c r="AC370">
        <v>32906</v>
      </c>
      <c r="AD370">
        <v>770731</v>
      </c>
      <c r="AE370" t="s">
        <v>181</v>
      </c>
      <c r="AF370" t="s">
        <v>336</v>
      </c>
      <c r="AG370" t="s">
        <v>145</v>
      </c>
      <c r="AH370">
        <v>1</v>
      </c>
      <c r="AI370" s="7" t="str">
        <f t="shared" si="39"/>
        <v>37136277_08_1_1</v>
      </c>
      <c r="AJ370" t="s">
        <v>51</v>
      </c>
      <c r="AK370" t="s">
        <v>52</v>
      </c>
      <c r="AL370" s="1">
        <v>36412</v>
      </c>
      <c r="AM370">
        <v>5350</v>
      </c>
    </row>
    <row r="371" spans="1:39" x14ac:dyDescent="0.35">
      <c r="A371" s="3">
        <v>37136282</v>
      </c>
      <c r="B371" s="3" t="str">
        <f t="shared" si="40"/>
        <v>--1</v>
      </c>
      <c r="C371">
        <v>1</v>
      </c>
      <c r="D371" t="s">
        <v>199</v>
      </c>
      <c r="E371">
        <v>2</v>
      </c>
      <c r="F371">
        <v>40</v>
      </c>
      <c r="G371" t="s">
        <v>203</v>
      </c>
      <c r="H371">
        <v>31.0293162</v>
      </c>
      <c r="I371" t="str">
        <f>"-102.2312172"</f>
        <v>-102.2312172</v>
      </c>
      <c r="J371">
        <v>31.029467539999999</v>
      </c>
      <c r="K371" t="str">
        <f>"-102.2316309"</f>
        <v>-102.2316309</v>
      </c>
      <c r="L371" t="s">
        <v>200</v>
      </c>
      <c r="M371">
        <v>379384</v>
      </c>
      <c r="N371">
        <v>770731</v>
      </c>
      <c r="O371" t="s">
        <v>181</v>
      </c>
      <c r="P371" t="s">
        <v>338</v>
      </c>
      <c r="Q371">
        <v>0</v>
      </c>
      <c r="R371" t="s">
        <v>44</v>
      </c>
      <c r="T371" t="s">
        <v>337</v>
      </c>
      <c r="U371">
        <v>12</v>
      </c>
      <c r="V371">
        <v>12</v>
      </c>
      <c r="W371">
        <v>467</v>
      </c>
      <c r="X371" t="s">
        <v>254</v>
      </c>
      <c r="Y371">
        <v>8877</v>
      </c>
      <c r="Z371" t="s">
        <v>189</v>
      </c>
      <c r="AI371" s="7" t="str">
        <f t="shared" si="39"/>
        <v>37136282___1</v>
      </c>
    </row>
    <row r="372" spans="1:39" x14ac:dyDescent="0.35">
      <c r="A372" s="3">
        <v>37136283</v>
      </c>
      <c r="B372" s="3" t="str">
        <f t="shared" si="40"/>
        <v>08-   2-C-2</v>
      </c>
      <c r="C372">
        <v>2</v>
      </c>
      <c r="D372" t="s">
        <v>151</v>
      </c>
      <c r="E372">
        <v>10</v>
      </c>
      <c r="F372">
        <v>20</v>
      </c>
      <c r="G372" t="s">
        <v>243</v>
      </c>
      <c r="H372">
        <v>31.032912</v>
      </c>
      <c r="I372" t="str">
        <f>"-102.2304329"</f>
        <v>-102.2304329</v>
      </c>
      <c r="J372">
        <v>31.033063240000001</v>
      </c>
      <c r="K372" t="str">
        <f>"-102.23084664"</f>
        <v>-102.23084664</v>
      </c>
      <c r="L372" t="s">
        <v>43</v>
      </c>
      <c r="M372">
        <v>379695</v>
      </c>
      <c r="N372">
        <v>770731</v>
      </c>
      <c r="O372" t="s">
        <v>181</v>
      </c>
      <c r="P372" t="s">
        <v>338</v>
      </c>
      <c r="Q372">
        <v>5258</v>
      </c>
      <c r="R372" t="s">
        <v>44</v>
      </c>
      <c r="T372" t="s">
        <v>339</v>
      </c>
      <c r="U372">
        <v>12</v>
      </c>
      <c r="V372">
        <v>12</v>
      </c>
      <c r="W372">
        <v>467</v>
      </c>
      <c r="X372" t="s">
        <v>254</v>
      </c>
      <c r="Y372">
        <v>660</v>
      </c>
      <c r="Z372" t="s">
        <v>340</v>
      </c>
      <c r="AA372" t="s">
        <v>152</v>
      </c>
      <c r="AB372" t="str">
        <f>"08"</f>
        <v>08</v>
      </c>
      <c r="AC372">
        <v>136899</v>
      </c>
      <c r="AD372">
        <v>770731</v>
      </c>
      <c r="AE372" t="s">
        <v>181</v>
      </c>
      <c r="AF372" t="s">
        <v>338</v>
      </c>
      <c r="AG372" t="s">
        <v>341</v>
      </c>
      <c r="AH372" t="s">
        <v>342</v>
      </c>
      <c r="AI372" s="7" t="str">
        <f t="shared" si="39"/>
        <v>37136283_08_   2-C_2</v>
      </c>
      <c r="AJ372" t="s">
        <v>51</v>
      </c>
      <c r="AK372" t="s">
        <v>52</v>
      </c>
      <c r="AL372" s="1">
        <v>36413</v>
      </c>
      <c r="AM372">
        <v>5258</v>
      </c>
    </row>
    <row r="373" spans="1:39" x14ac:dyDescent="0.35">
      <c r="A373" s="3">
        <v>37136283</v>
      </c>
      <c r="B373" s="3" t="str">
        <f t="shared" si="40"/>
        <v>08-   2T -2</v>
      </c>
      <c r="C373">
        <v>2</v>
      </c>
      <c r="D373" t="s">
        <v>151</v>
      </c>
      <c r="E373">
        <v>10</v>
      </c>
      <c r="F373">
        <v>20</v>
      </c>
      <c r="G373" t="s">
        <v>243</v>
      </c>
      <c r="H373">
        <v>31.032912</v>
      </c>
      <c r="I373" t="str">
        <f>"-102.2304329"</f>
        <v>-102.2304329</v>
      </c>
      <c r="J373">
        <v>31.033063240000001</v>
      </c>
      <c r="K373" t="str">
        <f>"-102.23084664"</f>
        <v>-102.23084664</v>
      </c>
      <c r="L373" t="s">
        <v>43</v>
      </c>
      <c r="M373">
        <v>379695</v>
      </c>
      <c r="N373">
        <v>770731</v>
      </c>
      <c r="O373" t="s">
        <v>181</v>
      </c>
      <c r="P373" t="s">
        <v>338</v>
      </c>
      <c r="Q373">
        <v>5258</v>
      </c>
      <c r="R373" t="s">
        <v>44</v>
      </c>
      <c r="T373" t="s">
        <v>339</v>
      </c>
      <c r="U373">
        <v>12</v>
      </c>
      <c r="V373">
        <v>12</v>
      </c>
      <c r="W373">
        <v>467</v>
      </c>
      <c r="X373" t="s">
        <v>254</v>
      </c>
      <c r="Y373">
        <v>660</v>
      </c>
      <c r="Z373" t="s">
        <v>340</v>
      </c>
      <c r="AA373" t="s">
        <v>45</v>
      </c>
      <c r="AB373" t="str">
        <f>"08"</f>
        <v>08</v>
      </c>
      <c r="AC373">
        <v>32938</v>
      </c>
      <c r="AD373">
        <v>770731</v>
      </c>
      <c r="AE373" t="s">
        <v>181</v>
      </c>
      <c r="AF373" t="s">
        <v>338</v>
      </c>
      <c r="AG373" t="s">
        <v>330</v>
      </c>
      <c r="AH373" t="s">
        <v>343</v>
      </c>
      <c r="AI373" s="7" t="str">
        <f t="shared" si="39"/>
        <v>37136283_08_   2T _2</v>
      </c>
      <c r="AJ373" t="s">
        <v>51</v>
      </c>
      <c r="AK373" t="s">
        <v>52</v>
      </c>
      <c r="AL373" s="1">
        <v>36413</v>
      </c>
      <c r="AM373">
        <v>5258</v>
      </c>
    </row>
    <row r="374" spans="1:39" x14ac:dyDescent="0.35">
      <c r="A374" s="3">
        <v>37136291</v>
      </c>
      <c r="B374" s="3" t="str">
        <f t="shared" si="40"/>
        <v>08-2-2</v>
      </c>
      <c r="C374">
        <v>2</v>
      </c>
      <c r="D374" t="s">
        <v>76</v>
      </c>
      <c r="E374">
        <v>21</v>
      </c>
      <c r="F374">
        <v>40</v>
      </c>
      <c r="G374" t="s">
        <v>203</v>
      </c>
      <c r="H374">
        <v>31.0334264</v>
      </c>
      <c r="I374" t="str">
        <f>"-102.2335194"</f>
        <v>-102.2335194</v>
      </c>
      <c r="J374">
        <v>31.03357759</v>
      </c>
      <c r="K374" t="str">
        <f>"-102.2339332"</f>
        <v>-102.2339332</v>
      </c>
      <c r="L374" t="s">
        <v>65</v>
      </c>
      <c r="M374">
        <v>479362</v>
      </c>
      <c r="N374">
        <v>770731</v>
      </c>
      <c r="O374" t="s">
        <v>181</v>
      </c>
      <c r="P374" t="s">
        <v>333</v>
      </c>
      <c r="Q374">
        <v>5652</v>
      </c>
      <c r="R374" t="s">
        <v>44</v>
      </c>
      <c r="S374">
        <v>294</v>
      </c>
      <c r="T374" t="s">
        <v>344</v>
      </c>
      <c r="U374">
        <v>12</v>
      </c>
      <c r="V374">
        <v>11</v>
      </c>
      <c r="W374">
        <v>517</v>
      </c>
      <c r="X374" t="s">
        <v>195</v>
      </c>
      <c r="Y374">
        <v>9669</v>
      </c>
      <c r="Z374" t="s">
        <v>189</v>
      </c>
      <c r="AA374" t="s">
        <v>45</v>
      </c>
      <c r="AB374" t="str">
        <f>"08"</f>
        <v>08</v>
      </c>
      <c r="AC374">
        <v>32766</v>
      </c>
      <c r="AD374">
        <v>606027</v>
      </c>
      <c r="AE374" t="s">
        <v>331</v>
      </c>
      <c r="AF374" t="s">
        <v>333</v>
      </c>
      <c r="AG374" t="s">
        <v>330</v>
      </c>
      <c r="AH374">
        <v>2</v>
      </c>
      <c r="AI374" s="7" t="str">
        <f t="shared" si="39"/>
        <v>37136291_08_2_2</v>
      </c>
      <c r="AJ374" t="s">
        <v>77</v>
      </c>
      <c r="AK374" t="s">
        <v>73</v>
      </c>
    </row>
    <row r="375" spans="1:39" x14ac:dyDescent="0.35">
      <c r="A375" s="3">
        <v>37136294</v>
      </c>
      <c r="B375" s="3" t="str">
        <f t="shared" si="40"/>
        <v>7C-1-1</v>
      </c>
      <c r="C375">
        <v>1</v>
      </c>
      <c r="D375" t="s">
        <v>41</v>
      </c>
      <c r="E375">
        <v>7</v>
      </c>
      <c r="F375">
        <v>40</v>
      </c>
      <c r="G375" t="s">
        <v>203</v>
      </c>
      <c r="H375">
        <v>31.031534600000001</v>
      </c>
      <c r="I375" t="str">
        <f t="shared" ref="I375:I382" si="46">"-102.226102"</f>
        <v>-102.226102</v>
      </c>
      <c r="J375">
        <v>31.031685920000001</v>
      </c>
      <c r="K375" t="str">
        <f t="shared" ref="K375:K382" si="47">"-102.22651564"</f>
        <v>-102.22651564</v>
      </c>
      <c r="L375" t="s">
        <v>43</v>
      </c>
      <c r="M375">
        <v>388947</v>
      </c>
      <c r="N375">
        <v>770731</v>
      </c>
      <c r="O375" t="s">
        <v>181</v>
      </c>
      <c r="P375" t="s">
        <v>345</v>
      </c>
      <c r="Q375">
        <v>5439</v>
      </c>
      <c r="R375" t="s">
        <v>44</v>
      </c>
      <c r="S375">
        <v>0</v>
      </c>
      <c r="T375" t="s">
        <v>346</v>
      </c>
      <c r="U375">
        <v>12</v>
      </c>
      <c r="V375">
        <v>12</v>
      </c>
      <c r="W375">
        <v>795</v>
      </c>
      <c r="X375" t="s">
        <v>195</v>
      </c>
      <c r="Y375">
        <v>9965</v>
      </c>
      <c r="Z375" t="s">
        <v>189</v>
      </c>
      <c r="AA375" t="s">
        <v>45</v>
      </c>
      <c r="AB375" t="s">
        <v>46</v>
      </c>
      <c r="AC375">
        <v>13067</v>
      </c>
      <c r="AD375">
        <v>770731</v>
      </c>
      <c r="AE375" t="s">
        <v>181</v>
      </c>
      <c r="AF375" t="s">
        <v>345</v>
      </c>
      <c r="AG375" t="s">
        <v>185</v>
      </c>
      <c r="AH375">
        <v>1</v>
      </c>
      <c r="AI375" s="7" t="str">
        <f t="shared" si="39"/>
        <v>37136294_7C_1_1</v>
      </c>
      <c r="AJ375" t="s">
        <v>51</v>
      </c>
      <c r="AK375" t="s">
        <v>52</v>
      </c>
      <c r="AL375" s="1">
        <v>36417</v>
      </c>
      <c r="AM375">
        <v>5439</v>
      </c>
    </row>
    <row r="376" spans="1:39" x14ac:dyDescent="0.35">
      <c r="A376" s="3">
        <v>37136294</v>
      </c>
      <c r="B376" s="3" t="str">
        <f t="shared" si="40"/>
        <v>7C-   1 C-1</v>
      </c>
      <c r="C376">
        <v>1</v>
      </c>
      <c r="D376" t="s">
        <v>41</v>
      </c>
      <c r="E376">
        <v>7</v>
      </c>
      <c r="F376">
        <v>40</v>
      </c>
      <c r="G376" t="s">
        <v>203</v>
      </c>
      <c r="H376">
        <v>31.031534600000001</v>
      </c>
      <c r="I376" t="str">
        <f t="shared" si="46"/>
        <v>-102.226102</v>
      </c>
      <c r="J376">
        <v>31.031685920000001</v>
      </c>
      <c r="K376" t="str">
        <f t="shared" si="47"/>
        <v>-102.22651564</v>
      </c>
      <c r="L376" t="s">
        <v>43</v>
      </c>
      <c r="M376">
        <v>388947</v>
      </c>
      <c r="N376">
        <v>770731</v>
      </c>
      <c r="O376" t="s">
        <v>181</v>
      </c>
      <c r="P376" t="s">
        <v>345</v>
      </c>
      <c r="Q376">
        <v>5439</v>
      </c>
      <c r="R376" t="s">
        <v>44</v>
      </c>
      <c r="S376">
        <v>0</v>
      </c>
      <c r="T376" t="s">
        <v>346</v>
      </c>
      <c r="U376">
        <v>12</v>
      </c>
      <c r="V376">
        <v>12</v>
      </c>
      <c r="W376">
        <v>795</v>
      </c>
      <c r="X376" t="s">
        <v>195</v>
      </c>
      <c r="Y376">
        <v>9965</v>
      </c>
      <c r="Z376" t="s">
        <v>189</v>
      </c>
      <c r="AA376" t="s">
        <v>45</v>
      </c>
      <c r="AB376" t="s">
        <v>46</v>
      </c>
      <c r="AC376">
        <v>13067</v>
      </c>
      <c r="AD376">
        <v>770731</v>
      </c>
      <c r="AE376" t="s">
        <v>181</v>
      </c>
      <c r="AF376" t="s">
        <v>345</v>
      </c>
      <c r="AG376" t="s">
        <v>185</v>
      </c>
      <c r="AH376" t="s">
        <v>54</v>
      </c>
      <c r="AI376" s="7" t="str">
        <f t="shared" si="39"/>
        <v>37136294_7C_   1 C_1</v>
      </c>
      <c r="AJ376" t="s">
        <v>51</v>
      </c>
      <c r="AK376" t="s">
        <v>52</v>
      </c>
      <c r="AL376" s="1">
        <v>36417</v>
      </c>
      <c r="AM376">
        <v>5439</v>
      </c>
    </row>
    <row r="377" spans="1:39" x14ac:dyDescent="0.35">
      <c r="A377" s="3">
        <v>37136294</v>
      </c>
      <c r="B377" s="3" t="str">
        <f t="shared" si="40"/>
        <v>7C-   1 T-1</v>
      </c>
      <c r="C377">
        <v>1</v>
      </c>
      <c r="D377" t="s">
        <v>41</v>
      </c>
      <c r="E377">
        <v>7</v>
      </c>
      <c r="F377">
        <v>40</v>
      </c>
      <c r="G377" t="s">
        <v>203</v>
      </c>
      <c r="H377">
        <v>31.031534600000001</v>
      </c>
      <c r="I377" t="str">
        <f t="shared" si="46"/>
        <v>-102.226102</v>
      </c>
      <c r="J377">
        <v>31.031685920000001</v>
      </c>
      <c r="K377" t="str">
        <f t="shared" si="47"/>
        <v>-102.22651564</v>
      </c>
      <c r="L377" t="s">
        <v>43</v>
      </c>
      <c r="M377">
        <v>388947</v>
      </c>
      <c r="N377">
        <v>770731</v>
      </c>
      <c r="O377" t="s">
        <v>181</v>
      </c>
      <c r="P377" t="s">
        <v>345</v>
      </c>
      <c r="Q377">
        <v>5439</v>
      </c>
      <c r="R377" t="s">
        <v>44</v>
      </c>
      <c r="S377">
        <v>0</v>
      </c>
      <c r="T377" t="s">
        <v>346</v>
      </c>
      <c r="U377">
        <v>12</v>
      </c>
      <c r="V377">
        <v>12</v>
      </c>
      <c r="W377">
        <v>795</v>
      </c>
      <c r="X377" t="s">
        <v>195</v>
      </c>
      <c r="Y377">
        <v>9965</v>
      </c>
      <c r="Z377" t="s">
        <v>189</v>
      </c>
      <c r="AA377" t="s">
        <v>45</v>
      </c>
      <c r="AB377" t="s">
        <v>46</v>
      </c>
      <c r="AC377">
        <v>13067</v>
      </c>
      <c r="AD377">
        <v>770731</v>
      </c>
      <c r="AE377" t="s">
        <v>181</v>
      </c>
      <c r="AF377" t="s">
        <v>345</v>
      </c>
      <c r="AG377" t="s">
        <v>185</v>
      </c>
      <c r="AH377" t="s">
        <v>50</v>
      </c>
      <c r="AI377" s="7" t="str">
        <f t="shared" si="39"/>
        <v>37136294_7C_   1 T_1</v>
      </c>
      <c r="AJ377" t="s">
        <v>51</v>
      </c>
      <c r="AK377" t="s">
        <v>52</v>
      </c>
      <c r="AL377" s="1">
        <v>36417</v>
      </c>
      <c r="AM377">
        <v>5439</v>
      </c>
    </row>
    <row r="378" spans="1:39" x14ac:dyDescent="0.35">
      <c r="A378" s="3">
        <v>37136294</v>
      </c>
      <c r="B378" s="3" t="str">
        <f t="shared" si="40"/>
        <v>08-1-1</v>
      </c>
      <c r="C378">
        <v>1</v>
      </c>
      <c r="D378" t="s">
        <v>41</v>
      </c>
      <c r="E378">
        <v>7</v>
      </c>
      <c r="F378">
        <v>40</v>
      </c>
      <c r="G378" t="s">
        <v>203</v>
      </c>
      <c r="H378">
        <v>31.031534600000001</v>
      </c>
      <c r="I378" t="str">
        <f t="shared" si="46"/>
        <v>-102.226102</v>
      </c>
      <c r="J378">
        <v>31.031685920000001</v>
      </c>
      <c r="K378" t="str">
        <f t="shared" si="47"/>
        <v>-102.22651564</v>
      </c>
      <c r="L378" t="s">
        <v>43</v>
      </c>
      <c r="M378">
        <v>388947</v>
      </c>
      <c r="N378">
        <v>770731</v>
      </c>
      <c r="O378" t="s">
        <v>181</v>
      </c>
      <c r="P378" t="s">
        <v>345</v>
      </c>
      <c r="Q378">
        <v>5439</v>
      </c>
      <c r="R378" t="s">
        <v>44</v>
      </c>
      <c r="S378">
        <v>0</v>
      </c>
      <c r="T378" t="s">
        <v>346</v>
      </c>
      <c r="U378">
        <v>12</v>
      </c>
      <c r="V378">
        <v>12</v>
      </c>
      <c r="W378">
        <v>795</v>
      </c>
      <c r="X378" t="s">
        <v>195</v>
      </c>
      <c r="Y378">
        <v>9965</v>
      </c>
      <c r="Z378" t="s">
        <v>189</v>
      </c>
      <c r="AA378" t="s">
        <v>45</v>
      </c>
      <c r="AB378" t="str">
        <f t="shared" ref="AB378:AB391" si="48">"08"</f>
        <v>08</v>
      </c>
      <c r="AC378">
        <v>33046</v>
      </c>
      <c r="AD378">
        <v>762845</v>
      </c>
      <c r="AE378" t="s">
        <v>196</v>
      </c>
      <c r="AF378" t="s">
        <v>345</v>
      </c>
      <c r="AG378" t="s">
        <v>330</v>
      </c>
      <c r="AH378">
        <v>1</v>
      </c>
      <c r="AI378" s="7" t="str">
        <f t="shared" si="39"/>
        <v>37136294_08_1_1</v>
      </c>
      <c r="AJ378" t="s">
        <v>51</v>
      </c>
      <c r="AK378" t="s">
        <v>52</v>
      </c>
      <c r="AL378" s="1">
        <v>36417</v>
      </c>
      <c r="AM378">
        <v>5439</v>
      </c>
    </row>
    <row r="379" spans="1:39" x14ac:dyDescent="0.35">
      <c r="A379" s="3">
        <v>37136294</v>
      </c>
      <c r="B379" s="3" t="str">
        <f t="shared" si="40"/>
        <v>08-   1C -1</v>
      </c>
      <c r="C379">
        <v>1</v>
      </c>
      <c r="D379" t="s">
        <v>41</v>
      </c>
      <c r="E379">
        <v>7</v>
      </c>
      <c r="F379">
        <v>40</v>
      </c>
      <c r="G379" t="s">
        <v>203</v>
      </c>
      <c r="H379">
        <v>31.031534600000001</v>
      </c>
      <c r="I379" t="str">
        <f t="shared" si="46"/>
        <v>-102.226102</v>
      </c>
      <c r="J379">
        <v>31.031685920000001</v>
      </c>
      <c r="K379" t="str">
        <f t="shared" si="47"/>
        <v>-102.22651564</v>
      </c>
      <c r="L379" t="s">
        <v>43</v>
      </c>
      <c r="M379">
        <v>388947</v>
      </c>
      <c r="N379">
        <v>770731</v>
      </c>
      <c r="O379" t="s">
        <v>181</v>
      </c>
      <c r="P379" t="s">
        <v>345</v>
      </c>
      <c r="Q379">
        <v>5439</v>
      </c>
      <c r="R379" t="s">
        <v>44</v>
      </c>
      <c r="S379">
        <v>0</v>
      </c>
      <c r="T379" t="s">
        <v>346</v>
      </c>
      <c r="U379">
        <v>12</v>
      </c>
      <c r="V379">
        <v>12</v>
      </c>
      <c r="W379">
        <v>795</v>
      </c>
      <c r="X379" t="s">
        <v>195</v>
      </c>
      <c r="Y379">
        <v>9965</v>
      </c>
      <c r="Z379" t="s">
        <v>189</v>
      </c>
      <c r="AA379" t="s">
        <v>45</v>
      </c>
      <c r="AB379" t="str">
        <f t="shared" si="48"/>
        <v>08</v>
      </c>
      <c r="AC379">
        <v>33046</v>
      </c>
      <c r="AD379">
        <v>762845</v>
      </c>
      <c r="AE379" t="s">
        <v>196</v>
      </c>
      <c r="AF379" t="s">
        <v>345</v>
      </c>
      <c r="AG379" t="s">
        <v>330</v>
      </c>
      <c r="AH379" t="s">
        <v>347</v>
      </c>
      <c r="AI379" s="7" t="str">
        <f t="shared" si="39"/>
        <v>37136294_08_   1C _1</v>
      </c>
      <c r="AJ379" t="s">
        <v>51</v>
      </c>
      <c r="AK379" t="s">
        <v>52</v>
      </c>
      <c r="AL379" s="1">
        <v>36417</v>
      </c>
      <c r="AM379">
        <v>5439</v>
      </c>
    </row>
    <row r="380" spans="1:39" x14ac:dyDescent="0.35">
      <c r="A380" s="3">
        <v>37136294</v>
      </c>
      <c r="B380" s="3" t="str">
        <f t="shared" si="40"/>
        <v>08-   1 C-1</v>
      </c>
      <c r="C380">
        <v>1</v>
      </c>
      <c r="D380" t="s">
        <v>41</v>
      </c>
      <c r="E380">
        <v>7</v>
      </c>
      <c r="F380">
        <v>40</v>
      </c>
      <c r="G380" t="s">
        <v>203</v>
      </c>
      <c r="H380">
        <v>31.031534600000001</v>
      </c>
      <c r="I380" t="str">
        <f t="shared" si="46"/>
        <v>-102.226102</v>
      </c>
      <c r="J380">
        <v>31.031685920000001</v>
      </c>
      <c r="K380" t="str">
        <f t="shared" si="47"/>
        <v>-102.22651564</v>
      </c>
      <c r="L380" t="s">
        <v>43</v>
      </c>
      <c r="M380">
        <v>388947</v>
      </c>
      <c r="N380">
        <v>770731</v>
      </c>
      <c r="O380" t="s">
        <v>181</v>
      </c>
      <c r="P380" t="s">
        <v>345</v>
      </c>
      <c r="Q380">
        <v>5439</v>
      </c>
      <c r="R380" t="s">
        <v>44</v>
      </c>
      <c r="S380">
        <v>0</v>
      </c>
      <c r="T380" t="s">
        <v>346</v>
      </c>
      <c r="U380">
        <v>12</v>
      </c>
      <c r="V380">
        <v>12</v>
      </c>
      <c r="W380">
        <v>795</v>
      </c>
      <c r="X380" t="s">
        <v>195</v>
      </c>
      <c r="Y380">
        <v>9965</v>
      </c>
      <c r="Z380" t="s">
        <v>189</v>
      </c>
      <c r="AA380" t="s">
        <v>45</v>
      </c>
      <c r="AB380" t="str">
        <f t="shared" si="48"/>
        <v>08</v>
      </c>
      <c r="AC380">
        <v>33230</v>
      </c>
      <c r="AD380">
        <v>770731</v>
      </c>
      <c r="AE380" t="s">
        <v>181</v>
      </c>
      <c r="AF380" t="s">
        <v>345</v>
      </c>
      <c r="AG380" t="s">
        <v>186</v>
      </c>
      <c r="AH380" t="s">
        <v>54</v>
      </c>
      <c r="AI380" s="7" t="str">
        <f t="shared" si="39"/>
        <v>37136294_08_   1 C_1</v>
      </c>
      <c r="AJ380" t="s">
        <v>51</v>
      </c>
      <c r="AK380" t="s">
        <v>52</v>
      </c>
      <c r="AL380" s="1">
        <v>36417</v>
      </c>
      <c r="AM380">
        <v>5439</v>
      </c>
    </row>
    <row r="381" spans="1:39" x14ac:dyDescent="0.35">
      <c r="A381" s="3">
        <v>37136294</v>
      </c>
      <c r="B381" s="3" t="str">
        <f t="shared" si="40"/>
        <v>08-   1C -1</v>
      </c>
      <c r="C381">
        <v>1</v>
      </c>
      <c r="D381" t="s">
        <v>41</v>
      </c>
      <c r="E381">
        <v>7</v>
      </c>
      <c r="F381">
        <v>40</v>
      </c>
      <c r="G381" t="s">
        <v>203</v>
      </c>
      <c r="H381">
        <v>31.031534600000001</v>
      </c>
      <c r="I381" t="str">
        <f t="shared" si="46"/>
        <v>-102.226102</v>
      </c>
      <c r="J381">
        <v>31.031685920000001</v>
      </c>
      <c r="K381" t="str">
        <f t="shared" si="47"/>
        <v>-102.22651564</v>
      </c>
      <c r="L381" t="s">
        <v>43</v>
      </c>
      <c r="M381">
        <v>388947</v>
      </c>
      <c r="N381">
        <v>770731</v>
      </c>
      <c r="O381" t="s">
        <v>181</v>
      </c>
      <c r="P381" t="s">
        <v>345</v>
      </c>
      <c r="Q381">
        <v>5439</v>
      </c>
      <c r="R381" t="s">
        <v>44</v>
      </c>
      <c r="S381">
        <v>0</v>
      </c>
      <c r="T381" t="s">
        <v>346</v>
      </c>
      <c r="U381">
        <v>12</v>
      </c>
      <c r="V381">
        <v>12</v>
      </c>
      <c r="W381">
        <v>795</v>
      </c>
      <c r="X381" t="s">
        <v>195</v>
      </c>
      <c r="Y381">
        <v>9965</v>
      </c>
      <c r="Z381" t="s">
        <v>189</v>
      </c>
      <c r="AA381" t="s">
        <v>45</v>
      </c>
      <c r="AB381" t="str">
        <f t="shared" si="48"/>
        <v>08</v>
      </c>
      <c r="AC381">
        <v>33230</v>
      </c>
      <c r="AD381">
        <v>770731</v>
      </c>
      <c r="AE381" t="s">
        <v>181</v>
      </c>
      <c r="AF381" t="s">
        <v>345</v>
      </c>
      <c r="AG381" t="s">
        <v>186</v>
      </c>
      <c r="AH381" t="s">
        <v>347</v>
      </c>
      <c r="AI381" s="7" t="str">
        <f t="shared" si="39"/>
        <v>37136294_08_   1C _1</v>
      </c>
      <c r="AJ381" t="s">
        <v>51</v>
      </c>
      <c r="AK381" t="s">
        <v>52</v>
      </c>
      <c r="AL381" s="1">
        <v>36417</v>
      </c>
      <c r="AM381">
        <v>5439</v>
      </c>
    </row>
    <row r="382" spans="1:39" x14ac:dyDescent="0.35">
      <c r="A382" s="3">
        <v>37136294</v>
      </c>
      <c r="B382" s="3" t="str">
        <f t="shared" si="40"/>
        <v>08-   1T -1</v>
      </c>
      <c r="C382">
        <v>1</v>
      </c>
      <c r="D382" t="s">
        <v>41</v>
      </c>
      <c r="E382">
        <v>7</v>
      </c>
      <c r="F382">
        <v>40</v>
      </c>
      <c r="G382" t="s">
        <v>203</v>
      </c>
      <c r="H382">
        <v>31.031534600000001</v>
      </c>
      <c r="I382" t="str">
        <f t="shared" si="46"/>
        <v>-102.226102</v>
      </c>
      <c r="J382">
        <v>31.031685920000001</v>
      </c>
      <c r="K382" t="str">
        <f t="shared" si="47"/>
        <v>-102.22651564</v>
      </c>
      <c r="L382" t="s">
        <v>43</v>
      </c>
      <c r="M382">
        <v>388947</v>
      </c>
      <c r="N382">
        <v>770731</v>
      </c>
      <c r="O382" t="s">
        <v>181</v>
      </c>
      <c r="P382" t="s">
        <v>345</v>
      </c>
      <c r="Q382">
        <v>5439</v>
      </c>
      <c r="R382" t="s">
        <v>44</v>
      </c>
      <c r="S382">
        <v>0</v>
      </c>
      <c r="T382" t="s">
        <v>346</v>
      </c>
      <c r="U382">
        <v>12</v>
      </c>
      <c r="V382">
        <v>12</v>
      </c>
      <c r="W382">
        <v>795</v>
      </c>
      <c r="X382" t="s">
        <v>195</v>
      </c>
      <c r="Y382">
        <v>9965</v>
      </c>
      <c r="Z382" t="s">
        <v>189</v>
      </c>
      <c r="AA382" t="s">
        <v>45</v>
      </c>
      <c r="AB382" t="str">
        <f t="shared" si="48"/>
        <v>08</v>
      </c>
      <c r="AC382">
        <v>33230</v>
      </c>
      <c r="AD382">
        <v>770731</v>
      </c>
      <c r="AE382" t="s">
        <v>181</v>
      </c>
      <c r="AF382" t="s">
        <v>345</v>
      </c>
      <c r="AG382" t="s">
        <v>186</v>
      </c>
      <c r="AH382" t="s">
        <v>348</v>
      </c>
      <c r="AI382" s="7" t="str">
        <f t="shared" si="39"/>
        <v>37136294_08_   1T _1</v>
      </c>
      <c r="AJ382" t="s">
        <v>51</v>
      </c>
      <c r="AK382" t="s">
        <v>52</v>
      </c>
      <c r="AL382" s="1">
        <v>36417</v>
      </c>
      <c r="AM382">
        <v>5439</v>
      </c>
    </row>
    <row r="383" spans="1:39" x14ac:dyDescent="0.35">
      <c r="A383" s="3">
        <v>37136299</v>
      </c>
      <c r="B383" s="3" t="str">
        <f t="shared" si="40"/>
        <v>08-5-5</v>
      </c>
      <c r="C383">
        <v>5</v>
      </c>
      <c r="D383" t="s">
        <v>63</v>
      </c>
      <c r="E383">
        <v>4</v>
      </c>
      <c r="F383">
        <v>40</v>
      </c>
      <c r="G383" t="s">
        <v>203</v>
      </c>
      <c r="H383">
        <v>31.026009899999998</v>
      </c>
      <c r="I383" t="str">
        <f>"-102.2433994"</f>
        <v>-102.2433994</v>
      </c>
      <c r="J383">
        <v>31.02616124</v>
      </c>
      <c r="K383" t="str">
        <f>"-102.24381326"</f>
        <v>-102.24381326</v>
      </c>
      <c r="L383" t="s">
        <v>65</v>
      </c>
      <c r="M383">
        <v>488186</v>
      </c>
      <c r="N383">
        <v>341428</v>
      </c>
      <c r="O383" t="s">
        <v>315</v>
      </c>
      <c r="P383" t="s">
        <v>316</v>
      </c>
      <c r="Q383">
        <v>5210</v>
      </c>
      <c r="R383" t="s">
        <v>44</v>
      </c>
      <c r="S383">
        <v>5610</v>
      </c>
      <c r="T383" t="s">
        <v>251</v>
      </c>
      <c r="U383">
        <v>12</v>
      </c>
      <c r="V383">
        <v>10</v>
      </c>
      <c r="W383">
        <v>467</v>
      </c>
      <c r="X383" t="s">
        <v>195</v>
      </c>
      <c r="Y383">
        <v>5837</v>
      </c>
      <c r="Z383" t="s">
        <v>189</v>
      </c>
      <c r="AA383" t="s">
        <v>45</v>
      </c>
      <c r="AB383" t="str">
        <f t="shared" si="48"/>
        <v>08</v>
      </c>
      <c r="AC383">
        <v>21747</v>
      </c>
      <c r="AD383">
        <v>341516</v>
      </c>
      <c r="AE383" t="s">
        <v>246</v>
      </c>
      <c r="AF383" t="s">
        <v>247</v>
      </c>
      <c r="AG383" t="s">
        <v>56</v>
      </c>
      <c r="AH383">
        <v>5</v>
      </c>
      <c r="AI383" s="7" t="str">
        <f t="shared" si="39"/>
        <v>37136299_08_5_5</v>
      </c>
      <c r="AJ383" t="s">
        <v>51</v>
      </c>
      <c r="AK383" t="s">
        <v>52</v>
      </c>
    </row>
    <row r="384" spans="1:39" x14ac:dyDescent="0.35">
      <c r="A384" s="3">
        <v>37136299</v>
      </c>
      <c r="B384" s="3" t="str">
        <f t="shared" si="40"/>
        <v>08-5-5</v>
      </c>
      <c r="C384">
        <v>5</v>
      </c>
      <c r="D384" t="s">
        <v>63</v>
      </c>
      <c r="E384">
        <v>4</v>
      </c>
      <c r="F384">
        <v>40</v>
      </c>
      <c r="G384" t="s">
        <v>203</v>
      </c>
      <c r="H384">
        <v>31.026009899999998</v>
      </c>
      <c r="I384" t="str">
        <f>"-102.2433994"</f>
        <v>-102.2433994</v>
      </c>
      <c r="J384">
        <v>31.02616124</v>
      </c>
      <c r="K384" t="str">
        <f>"-102.24381326"</f>
        <v>-102.24381326</v>
      </c>
      <c r="L384" t="s">
        <v>65</v>
      </c>
      <c r="M384">
        <v>488186</v>
      </c>
      <c r="N384">
        <v>341428</v>
      </c>
      <c r="O384" t="s">
        <v>315</v>
      </c>
      <c r="P384" t="s">
        <v>316</v>
      </c>
      <c r="Q384">
        <v>5210</v>
      </c>
      <c r="R384" t="s">
        <v>44</v>
      </c>
      <c r="S384">
        <v>5610</v>
      </c>
      <c r="T384" t="s">
        <v>251</v>
      </c>
      <c r="U384">
        <v>12</v>
      </c>
      <c r="V384">
        <v>10</v>
      </c>
      <c r="W384">
        <v>467</v>
      </c>
      <c r="X384" t="s">
        <v>195</v>
      </c>
      <c r="Y384">
        <v>5837</v>
      </c>
      <c r="Z384" t="s">
        <v>189</v>
      </c>
      <c r="AA384" t="s">
        <v>45</v>
      </c>
      <c r="AB384" t="str">
        <f t="shared" si="48"/>
        <v>08</v>
      </c>
      <c r="AC384">
        <v>36383</v>
      </c>
      <c r="AD384">
        <v>470787</v>
      </c>
      <c r="AE384" t="s">
        <v>318</v>
      </c>
      <c r="AF384" t="s">
        <v>316</v>
      </c>
      <c r="AG384" t="s">
        <v>269</v>
      </c>
      <c r="AH384">
        <v>5</v>
      </c>
      <c r="AI384" s="7" t="str">
        <f t="shared" si="39"/>
        <v>37136299_08_5_5</v>
      </c>
      <c r="AJ384" t="s">
        <v>72</v>
      </c>
      <c r="AK384" t="s">
        <v>73</v>
      </c>
    </row>
    <row r="385" spans="1:41" x14ac:dyDescent="0.35">
      <c r="A385" s="3">
        <v>37136313</v>
      </c>
      <c r="B385" s="3" t="str">
        <f t="shared" si="40"/>
        <v>08-1-1</v>
      </c>
      <c r="C385">
        <v>1</v>
      </c>
      <c r="D385" t="s">
        <v>41</v>
      </c>
      <c r="E385">
        <v>7</v>
      </c>
      <c r="F385">
        <v>40</v>
      </c>
      <c r="G385" t="s">
        <v>203</v>
      </c>
      <c r="H385">
        <v>2960430.68011811</v>
      </c>
      <c r="I385" t="str">
        <f>"2299494.37598425"</f>
        <v>2299494.37598425</v>
      </c>
      <c r="J385">
        <v>31.03827184</v>
      </c>
      <c r="K385" t="str">
        <f>"-102.24184944"</f>
        <v>-102.24184944</v>
      </c>
      <c r="L385" t="s">
        <v>43</v>
      </c>
      <c r="M385">
        <v>777409</v>
      </c>
      <c r="N385">
        <v>770731</v>
      </c>
      <c r="O385" t="s">
        <v>181</v>
      </c>
      <c r="P385" t="s">
        <v>349</v>
      </c>
      <c r="Q385">
        <v>5293</v>
      </c>
      <c r="R385" t="s">
        <v>44</v>
      </c>
      <c r="S385">
        <v>5610</v>
      </c>
      <c r="T385" t="s">
        <v>240</v>
      </c>
      <c r="U385">
        <v>12</v>
      </c>
      <c r="V385">
        <v>10</v>
      </c>
      <c r="W385">
        <v>470</v>
      </c>
      <c r="X385" t="s">
        <v>350</v>
      </c>
      <c r="Y385">
        <v>660</v>
      </c>
      <c r="Z385" t="s">
        <v>351</v>
      </c>
      <c r="AA385" t="s">
        <v>45</v>
      </c>
      <c r="AB385" t="str">
        <f t="shared" si="48"/>
        <v>08</v>
      </c>
      <c r="AC385">
        <v>33272</v>
      </c>
      <c r="AD385">
        <v>770731</v>
      </c>
      <c r="AE385" t="s">
        <v>181</v>
      </c>
      <c r="AF385" t="s">
        <v>349</v>
      </c>
      <c r="AG385" t="s">
        <v>330</v>
      </c>
      <c r="AH385">
        <v>1</v>
      </c>
      <c r="AI385" s="7" t="str">
        <f t="shared" si="39"/>
        <v>37136313_08_1_1</v>
      </c>
      <c r="AJ385" t="s">
        <v>51</v>
      </c>
      <c r="AK385" t="s">
        <v>52</v>
      </c>
      <c r="AL385" s="1">
        <v>42998</v>
      </c>
      <c r="AM385">
        <v>5293</v>
      </c>
    </row>
    <row r="386" spans="1:41" x14ac:dyDescent="0.35">
      <c r="A386" s="3">
        <v>37136313</v>
      </c>
      <c r="B386" s="3" t="str">
        <f t="shared" si="40"/>
        <v>08-1-1</v>
      </c>
      <c r="C386">
        <v>1</v>
      </c>
      <c r="D386" t="s">
        <v>41</v>
      </c>
      <c r="E386">
        <v>7</v>
      </c>
      <c r="F386">
        <v>40</v>
      </c>
      <c r="G386" t="s">
        <v>203</v>
      </c>
      <c r="H386">
        <v>2960430.68011811</v>
      </c>
      <c r="I386" t="str">
        <f>"2299494.37598425"</f>
        <v>2299494.37598425</v>
      </c>
      <c r="J386">
        <v>31.03827184</v>
      </c>
      <c r="K386" t="str">
        <f>"-102.24184944"</f>
        <v>-102.24184944</v>
      </c>
      <c r="L386" t="s">
        <v>43</v>
      </c>
      <c r="M386">
        <v>777409</v>
      </c>
      <c r="N386">
        <v>770731</v>
      </c>
      <c r="O386" t="s">
        <v>181</v>
      </c>
      <c r="P386" t="s">
        <v>349</v>
      </c>
      <c r="Q386">
        <v>5293</v>
      </c>
      <c r="R386" t="s">
        <v>44</v>
      </c>
      <c r="S386">
        <v>5610</v>
      </c>
      <c r="T386" t="s">
        <v>240</v>
      </c>
      <c r="U386">
        <v>12</v>
      </c>
      <c r="V386">
        <v>10</v>
      </c>
      <c r="W386">
        <v>470</v>
      </c>
      <c r="X386" t="s">
        <v>350</v>
      </c>
      <c r="Y386">
        <v>660</v>
      </c>
      <c r="Z386" t="s">
        <v>351</v>
      </c>
      <c r="AA386" t="s">
        <v>45</v>
      </c>
      <c r="AB386" t="str">
        <f t="shared" si="48"/>
        <v>08</v>
      </c>
      <c r="AC386">
        <v>46644</v>
      </c>
      <c r="AD386">
        <v>770731</v>
      </c>
      <c r="AE386" t="s">
        <v>181</v>
      </c>
      <c r="AF386" t="s">
        <v>349</v>
      </c>
      <c r="AG386" t="s">
        <v>276</v>
      </c>
      <c r="AH386">
        <v>1</v>
      </c>
      <c r="AI386" s="7" t="str">
        <f t="shared" ref="AI386:AI400" si="49">A386&amp;"_"&amp;AB386&amp;"_"&amp;AH386&amp;"_"&amp;C386</f>
        <v>37136313_08_1_1</v>
      </c>
      <c r="AJ386" t="s">
        <v>51</v>
      </c>
      <c r="AK386" t="s">
        <v>52</v>
      </c>
      <c r="AL386" s="1">
        <v>42998</v>
      </c>
      <c r="AM386">
        <v>5293</v>
      </c>
    </row>
    <row r="387" spans="1:41" x14ac:dyDescent="0.35">
      <c r="A387" s="3">
        <v>37136355</v>
      </c>
      <c r="B387" s="3" t="str">
        <f t="shared" ref="B387:B399" si="50">AB387&amp;"-"&amp;AH387&amp;"-"&amp;C387</f>
        <v>08-1-3W</v>
      </c>
      <c r="C387" t="s">
        <v>352</v>
      </c>
      <c r="D387" t="s">
        <v>76</v>
      </c>
      <c r="E387">
        <v>21</v>
      </c>
      <c r="F387">
        <v>40</v>
      </c>
      <c r="G387" t="s">
        <v>203</v>
      </c>
      <c r="H387">
        <v>2959290.3979658801</v>
      </c>
      <c r="I387" t="str">
        <f>"2295899.52887139"</f>
        <v>2295899.52887139</v>
      </c>
      <c r="J387">
        <v>31.034911749999999</v>
      </c>
      <c r="K387" t="str">
        <f>"-102.25326236"</f>
        <v>-102.25326236</v>
      </c>
      <c r="L387" t="s">
        <v>65</v>
      </c>
      <c r="M387">
        <v>865956</v>
      </c>
      <c r="N387">
        <v>523592</v>
      </c>
      <c r="O387" t="s">
        <v>238</v>
      </c>
      <c r="P387" t="s">
        <v>353</v>
      </c>
      <c r="Q387">
        <v>5400</v>
      </c>
      <c r="R387" t="s">
        <v>44</v>
      </c>
      <c r="S387">
        <v>293</v>
      </c>
      <c r="T387" t="s">
        <v>282</v>
      </c>
      <c r="U387">
        <v>12</v>
      </c>
      <c r="V387">
        <v>9</v>
      </c>
      <c r="W387">
        <v>8680</v>
      </c>
      <c r="X387" t="s">
        <v>189</v>
      </c>
      <c r="Y387">
        <v>1228</v>
      </c>
      <c r="Z387" t="s">
        <v>254</v>
      </c>
      <c r="AA387" t="s">
        <v>45</v>
      </c>
      <c r="AB387" t="str">
        <f t="shared" si="48"/>
        <v>08</v>
      </c>
      <c r="AC387">
        <v>33513</v>
      </c>
      <c r="AD387">
        <v>621750</v>
      </c>
      <c r="AE387" t="s">
        <v>233</v>
      </c>
      <c r="AF387" t="s">
        <v>354</v>
      </c>
      <c r="AG387" t="s">
        <v>56</v>
      </c>
      <c r="AH387">
        <v>1</v>
      </c>
      <c r="AI387" s="7" t="str">
        <f t="shared" si="49"/>
        <v>37136355_08_1_3W</v>
      </c>
      <c r="AJ387" t="s">
        <v>51</v>
      </c>
      <c r="AK387" t="s">
        <v>52</v>
      </c>
    </row>
    <row r="388" spans="1:41" x14ac:dyDescent="0.35">
      <c r="A388" s="3">
        <v>37136355</v>
      </c>
      <c r="B388" s="3" t="str">
        <f t="shared" si="50"/>
        <v>08-   3W -3W</v>
      </c>
      <c r="C388" t="s">
        <v>352</v>
      </c>
      <c r="D388" t="s">
        <v>76</v>
      </c>
      <c r="E388">
        <v>21</v>
      </c>
      <c r="F388">
        <v>40</v>
      </c>
      <c r="G388" t="s">
        <v>203</v>
      </c>
      <c r="H388">
        <v>2959290.3979658801</v>
      </c>
      <c r="I388" t="str">
        <f>"2295899.52887139"</f>
        <v>2295899.52887139</v>
      </c>
      <c r="J388">
        <v>31.034911749999999</v>
      </c>
      <c r="K388" t="str">
        <f>"-102.25326236"</f>
        <v>-102.25326236</v>
      </c>
      <c r="L388" t="s">
        <v>65</v>
      </c>
      <c r="M388">
        <v>865956</v>
      </c>
      <c r="N388">
        <v>523592</v>
      </c>
      <c r="O388" t="s">
        <v>238</v>
      </c>
      <c r="P388" t="s">
        <v>353</v>
      </c>
      <c r="Q388">
        <v>5400</v>
      </c>
      <c r="R388" t="s">
        <v>44</v>
      </c>
      <c r="S388">
        <v>293</v>
      </c>
      <c r="T388" t="s">
        <v>282</v>
      </c>
      <c r="U388">
        <v>12</v>
      </c>
      <c r="V388">
        <v>9</v>
      </c>
      <c r="W388">
        <v>8680</v>
      </c>
      <c r="X388" t="s">
        <v>189</v>
      </c>
      <c r="Y388">
        <v>1228</v>
      </c>
      <c r="Z388" t="s">
        <v>254</v>
      </c>
      <c r="AA388" t="s">
        <v>45</v>
      </c>
      <c r="AB388" t="str">
        <f t="shared" si="48"/>
        <v>08</v>
      </c>
      <c r="AC388">
        <v>53595</v>
      </c>
      <c r="AD388">
        <v>743325</v>
      </c>
      <c r="AE388" t="s">
        <v>241</v>
      </c>
      <c r="AF388" t="s">
        <v>353</v>
      </c>
      <c r="AG388" t="s">
        <v>56</v>
      </c>
      <c r="AH388" t="s">
        <v>355</v>
      </c>
      <c r="AI388" s="7" t="str">
        <f t="shared" si="49"/>
        <v>37136355_08_   3W _3W</v>
      </c>
      <c r="AJ388" t="s">
        <v>86</v>
      </c>
      <c r="AK388" t="s">
        <v>73</v>
      </c>
    </row>
    <row r="389" spans="1:41" s="5" customFormat="1" x14ac:dyDescent="0.35">
      <c r="A389" s="4">
        <v>37136717</v>
      </c>
      <c r="B389" s="9" t="s">
        <v>368</v>
      </c>
      <c r="C389" s="5">
        <v>5</v>
      </c>
      <c r="D389" s="5" t="s">
        <v>63</v>
      </c>
      <c r="E389" s="5">
        <v>4</v>
      </c>
      <c r="F389" s="5">
        <v>40</v>
      </c>
      <c r="G389" s="5" t="s">
        <v>203</v>
      </c>
      <c r="H389" s="5">
        <v>2958833.82020998</v>
      </c>
      <c r="I389" s="5" t="str">
        <f>"2291314.13057743"</f>
        <v>2291314.13057743</v>
      </c>
      <c r="J389" s="5">
        <v>31.033239829999999</v>
      </c>
      <c r="K389" s="5" t="str">
        <f>"-102.26747681"</f>
        <v>-102.26747681</v>
      </c>
      <c r="L389" s="5" t="s">
        <v>65</v>
      </c>
      <c r="M389" s="5">
        <v>880592</v>
      </c>
      <c r="N389" s="5">
        <v>523592</v>
      </c>
      <c r="O389" s="5" t="s">
        <v>238</v>
      </c>
      <c r="P389" s="5" t="s">
        <v>239</v>
      </c>
      <c r="Q389" s="5">
        <v>5533</v>
      </c>
      <c r="R389" s="5" t="s">
        <v>44</v>
      </c>
      <c r="S389" s="5">
        <v>292</v>
      </c>
      <c r="T389" s="5" t="s">
        <v>282</v>
      </c>
      <c r="U389" s="5">
        <v>12</v>
      </c>
      <c r="V389" s="5">
        <v>7</v>
      </c>
      <c r="W389" s="5">
        <v>523</v>
      </c>
      <c r="X389" s="5" t="s">
        <v>184</v>
      </c>
      <c r="Y389" s="5">
        <v>2170</v>
      </c>
      <c r="Z389" s="5" t="s">
        <v>254</v>
      </c>
      <c r="AA389" s="5" t="s">
        <v>45</v>
      </c>
      <c r="AB389" s="5" t="str">
        <f t="shared" si="48"/>
        <v>08</v>
      </c>
      <c r="AC389" s="5">
        <v>35472</v>
      </c>
      <c r="AD389" s="5">
        <v>743325</v>
      </c>
      <c r="AE389" s="5" t="s">
        <v>241</v>
      </c>
      <c r="AF389" s="5" t="s">
        <v>356</v>
      </c>
      <c r="AG389" s="5" t="s">
        <v>242</v>
      </c>
      <c r="AH389" s="5">
        <v>805</v>
      </c>
      <c r="AI389" s="7" t="str">
        <f t="shared" si="49"/>
        <v>37136717_08_805_5</v>
      </c>
      <c r="AJ389" s="5" t="s">
        <v>51</v>
      </c>
      <c r="AK389" s="5" t="s">
        <v>52</v>
      </c>
    </row>
    <row r="390" spans="1:41" x14ac:dyDescent="0.35">
      <c r="A390" s="3">
        <v>37136717</v>
      </c>
      <c r="B390" s="9" t="s">
        <v>368</v>
      </c>
      <c r="C390">
        <v>5</v>
      </c>
      <c r="D390" t="s">
        <v>63</v>
      </c>
      <c r="E390">
        <v>4</v>
      </c>
      <c r="F390">
        <v>40</v>
      </c>
      <c r="G390" t="s">
        <v>203</v>
      </c>
      <c r="H390">
        <v>2958833.82020998</v>
      </c>
      <c r="I390" t="str">
        <f>"2291314.13057743"</f>
        <v>2291314.13057743</v>
      </c>
      <c r="J390">
        <v>31.033239829999999</v>
      </c>
      <c r="K390" t="str">
        <f>"-102.26747681"</f>
        <v>-102.26747681</v>
      </c>
      <c r="L390" t="s">
        <v>65</v>
      </c>
      <c r="M390">
        <v>880592</v>
      </c>
      <c r="N390">
        <v>523592</v>
      </c>
      <c r="O390" t="s">
        <v>238</v>
      </c>
      <c r="P390" t="s">
        <v>239</v>
      </c>
      <c r="Q390">
        <v>5533</v>
      </c>
      <c r="R390" t="s">
        <v>44</v>
      </c>
      <c r="S390">
        <v>292</v>
      </c>
      <c r="T390" t="s">
        <v>282</v>
      </c>
      <c r="U390">
        <v>12</v>
      </c>
      <c r="V390">
        <v>7</v>
      </c>
      <c r="W390">
        <v>523</v>
      </c>
      <c r="X390" t="s">
        <v>184</v>
      </c>
      <c r="Y390">
        <v>2170</v>
      </c>
      <c r="Z390" t="s">
        <v>254</v>
      </c>
      <c r="AA390" t="s">
        <v>45</v>
      </c>
      <c r="AB390" t="str">
        <f t="shared" si="48"/>
        <v>08</v>
      </c>
      <c r="AC390">
        <v>51034</v>
      </c>
      <c r="AD390">
        <v>743325</v>
      </c>
      <c r="AE390" t="s">
        <v>241</v>
      </c>
      <c r="AF390" t="s">
        <v>239</v>
      </c>
      <c r="AG390" t="s">
        <v>56</v>
      </c>
      <c r="AH390">
        <v>5</v>
      </c>
      <c r="AI390" s="7" t="str">
        <f t="shared" si="49"/>
        <v>37136717_08_5_5</v>
      </c>
      <c r="AJ390" t="s">
        <v>72</v>
      </c>
      <c r="AK390" t="s">
        <v>73</v>
      </c>
    </row>
    <row r="391" spans="1:41" x14ac:dyDescent="0.35">
      <c r="A391" s="3">
        <v>37137035</v>
      </c>
      <c r="B391" s="3" t="str">
        <f t="shared" si="50"/>
        <v>08-806-806</v>
      </c>
      <c r="C391">
        <v>806</v>
      </c>
      <c r="D391" t="s">
        <v>63</v>
      </c>
      <c r="E391">
        <v>4</v>
      </c>
      <c r="F391">
        <v>40</v>
      </c>
      <c r="G391" t="s">
        <v>203</v>
      </c>
      <c r="H391">
        <v>2958051.5938320202</v>
      </c>
      <c r="I391" t="str">
        <f>"2292264.85761155"</f>
        <v>2292264.85761155</v>
      </c>
      <c r="J391">
        <v>31.031295010000001</v>
      </c>
      <c r="K391" t="str">
        <f>"-102.26480778"</f>
        <v>-102.26480778</v>
      </c>
      <c r="L391" t="s">
        <v>65</v>
      </c>
      <c r="M391">
        <v>859509</v>
      </c>
      <c r="N391">
        <v>523592</v>
      </c>
      <c r="O391" t="s">
        <v>238</v>
      </c>
      <c r="P391" t="s">
        <v>356</v>
      </c>
      <c r="Q391">
        <v>5400</v>
      </c>
      <c r="R391" t="s">
        <v>44</v>
      </c>
      <c r="S391">
        <v>5614</v>
      </c>
      <c r="T391" t="s">
        <v>240</v>
      </c>
      <c r="U391">
        <v>12</v>
      </c>
      <c r="V391">
        <v>8</v>
      </c>
      <c r="W391">
        <v>625</v>
      </c>
      <c r="X391" t="s">
        <v>254</v>
      </c>
      <c r="Y391">
        <v>8200</v>
      </c>
      <c r="Z391" t="s">
        <v>189</v>
      </c>
      <c r="AA391" t="s">
        <v>45</v>
      </c>
      <c r="AB391" t="str">
        <f t="shared" si="48"/>
        <v>08</v>
      </c>
      <c r="AC391">
        <v>35472</v>
      </c>
      <c r="AD391">
        <v>743325</v>
      </c>
      <c r="AE391" t="s">
        <v>241</v>
      </c>
      <c r="AF391" t="s">
        <v>356</v>
      </c>
      <c r="AG391" t="s">
        <v>242</v>
      </c>
      <c r="AH391">
        <v>806</v>
      </c>
      <c r="AI391" s="7" t="str">
        <f t="shared" si="49"/>
        <v>37137035_08_806_806</v>
      </c>
      <c r="AJ391" t="s">
        <v>77</v>
      </c>
      <c r="AK391" t="s">
        <v>73</v>
      </c>
    </row>
    <row r="392" spans="1:41" x14ac:dyDescent="0.35">
      <c r="A392" s="3">
        <v>37137240</v>
      </c>
      <c r="B392" s="3" t="str">
        <f t="shared" si="50"/>
        <v>--1</v>
      </c>
      <c r="C392">
        <v>1</v>
      </c>
      <c r="D392" t="s">
        <v>39</v>
      </c>
      <c r="E392">
        <v>3</v>
      </c>
      <c r="F392">
        <v>40</v>
      </c>
      <c r="G392" t="s">
        <v>203</v>
      </c>
      <c r="H392">
        <v>31.031996809999999</v>
      </c>
      <c r="I392" t="str">
        <f>"-102.27642394"</f>
        <v>-102.27642394</v>
      </c>
      <c r="J392">
        <v>31.032147720000001</v>
      </c>
      <c r="K392" t="str">
        <f>"-102.27683875"</f>
        <v>-102.27683875</v>
      </c>
      <c r="L392" t="s">
        <v>149</v>
      </c>
      <c r="M392">
        <v>527449</v>
      </c>
      <c r="N392">
        <v>621750</v>
      </c>
      <c r="O392" t="s">
        <v>233</v>
      </c>
      <c r="P392" t="s">
        <v>357</v>
      </c>
      <c r="Q392">
        <v>0</v>
      </c>
      <c r="R392" t="s">
        <v>44</v>
      </c>
      <c r="S392">
        <v>9341</v>
      </c>
      <c r="T392" t="s">
        <v>358</v>
      </c>
      <c r="U392">
        <v>12</v>
      </c>
      <c r="V392">
        <v>6</v>
      </c>
      <c r="W392">
        <v>9968</v>
      </c>
      <c r="X392" t="s">
        <v>189</v>
      </c>
      <c r="Y392">
        <v>533</v>
      </c>
      <c r="Z392" t="s">
        <v>195</v>
      </c>
      <c r="AI392" s="7" t="str">
        <f t="shared" si="49"/>
        <v>37137240___1</v>
      </c>
      <c r="AL392" s="1">
        <v>37882</v>
      </c>
      <c r="AM392">
        <v>5325</v>
      </c>
      <c r="AN392" t="s">
        <v>233</v>
      </c>
      <c r="AO392" t="s">
        <v>359</v>
      </c>
    </row>
    <row r="393" spans="1:41" x14ac:dyDescent="0.35">
      <c r="A393" s="3">
        <v>37138881</v>
      </c>
      <c r="B393" s="3" t="str">
        <f t="shared" si="50"/>
        <v>08-2-2</v>
      </c>
      <c r="C393">
        <v>2</v>
      </c>
      <c r="D393" t="s">
        <v>63</v>
      </c>
      <c r="E393">
        <v>4</v>
      </c>
      <c r="F393">
        <v>55</v>
      </c>
      <c r="G393" t="s">
        <v>64</v>
      </c>
      <c r="H393">
        <v>31.020433300000001</v>
      </c>
      <c r="I393" t="str">
        <f>"-102.2500056"</f>
        <v>-102.2500056</v>
      </c>
      <c r="J393">
        <v>31.020584750000001</v>
      </c>
      <c r="K393" t="str">
        <f>"-102.25041949"</f>
        <v>-102.25041949</v>
      </c>
      <c r="L393" t="s">
        <v>65</v>
      </c>
      <c r="M393">
        <v>730599</v>
      </c>
      <c r="N393">
        <v>562563</v>
      </c>
      <c r="O393" t="s">
        <v>295</v>
      </c>
      <c r="P393" t="s">
        <v>360</v>
      </c>
      <c r="Q393">
        <v>5645</v>
      </c>
      <c r="R393" t="s">
        <v>44</v>
      </c>
      <c r="S393">
        <v>5610</v>
      </c>
      <c r="T393" t="s">
        <v>361</v>
      </c>
      <c r="U393">
        <v>12</v>
      </c>
      <c r="V393">
        <v>10</v>
      </c>
      <c r="W393">
        <v>467</v>
      </c>
      <c r="X393" t="s">
        <v>254</v>
      </c>
      <c r="Y393">
        <v>3240</v>
      </c>
      <c r="Z393" t="s">
        <v>189</v>
      </c>
      <c r="AA393" t="s">
        <v>45</v>
      </c>
      <c r="AB393" t="str">
        <f>"08"</f>
        <v>08</v>
      </c>
      <c r="AC393">
        <v>46122</v>
      </c>
      <c r="AD393">
        <v>200560</v>
      </c>
      <c r="AE393" t="s">
        <v>272</v>
      </c>
      <c r="AF393" t="s">
        <v>360</v>
      </c>
      <c r="AG393" t="s">
        <v>276</v>
      </c>
      <c r="AH393">
        <v>2</v>
      </c>
      <c r="AI393" s="7" t="str">
        <f t="shared" si="49"/>
        <v>37138881_08_2_2</v>
      </c>
      <c r="AJ393" t="s">
        <v>72</v>
      </c>
      <c r="AK393" t="s">
        <v>73</v>
      </c>
    </row>
    <row r="394" spans="1:41" s="5" customFormat="1" x14ac:dyDescent="0.35">
      <c r="A394" s="4">
        <v>37140161</v>
      </c>
      <c r="B394" s="9" t="s">
        <v>369</v>
      </c>
      <c r="C394" s="5">
        <v>1</v>
      </c>
      <c r="D394" s="5" t="s">
        <v>63</v>
      </c>
      <c r="E394" s="5">
        <v>11</v>
      </c>
      <c r="F394" s="5">
        <v>55</v>
      </c>
      <c r="G394" s="5" t="s">
        <v>64</v>
      </c>
      <c r="H394" s="5">
        <v>2958873.8218503902</v>
      </c>
      <c r="I394" s="5" t="str">
        <f>"2296011.91141732"</f>
        <v>2296011.91141732</v>
      </c>
      <c r="J394" s="5">
        <v>31.033770610000001</v>
      </c>
      <c r="K394" s="5" t="str">
        <f>"-102.25287572"</f>
        <v>-102.25287572</v>
      </c>
      <c r="L394" s="5" t="s">
        <v>65</v>
      </c>
      <c r="M394" s="5">
        <v>857260</v>
      </c>
      <c r="N394" s="5">
        <v>523592</v>
      </c>
      <c r="O394" s="5" t="s">
        <v>238</v>
      </c>
      <c r="P394" s="5" t="s">
        <v>353</v>
      </c>
      <c r="Q394" s="5">
        <v>5284</v>
      </c>
      <c r="R394" s="5" t="s">
        <v>44</v>
      </c>
      <c r="S394" s="5">
        <v>293</v>
      </c>
      <c r="T394" s="5" t="s">
        <v>282</v>
      </c>
      <c r="U394" s="5">
        <v>12</v>
      </c>
      <c r="V394" s="5">
        <v>9</v>
      </c>
      <c r="W394" s="5">
        <v>2310</v>
      </c>
      <c r="X394" s="5" t="s">
        <v>362</v>
      </c>
      <c r="Y394" s="5">
        <v>1183</v>
      </c>
      <c r="Z394" s="5" t="s">
        <v>195</v>
      </c>
      <c r="AA394" s="5" t="s">
        <v>45</v>
      </c>
      <c r="AB394" s="5" t="str">
        <f>"08"</f>
        <v>08</v>
      </c>
      <c r="AC394" s="5">
        <v>53595</v>
      </c>
      <c r="AD394" s="5">
        <v>743325</v>
      </c>
      <c r="AE394" s="5" t="s">
        <v>241</v>
      </c>
      <c r="AF394" s="5" t="s">
        <v>353</v>
      </c>
      <c r="AG394" s="5" t="s">
        <v>56</v>
      </c>
      <c r="AH394" s="5">
        <v>1</v>
      </c>
      <c r="AI394" s="7" t="str">
        <f t="shared" si="49"/>
        <v>37140161_08_1_1</v>
      </c>
      <c r="AJ394" s="5" t="s">
        <v>72</v>
      </c>
      <c r="AK394" s="5" t="s">
        <v>73</v>
      </c>
    </row>
    <row r="395" spans="1:41" x14ac:dyDescent="0.35">
      <c r="A395" s="3">
        <v>37140183</v>
      </c>
      <c r="B395" s="3" t="str">
        <f t="shared" si="50"/>
        <v>--2</v>
      </c>
      <c r="C395">
        <v>2</v>
      </c>
      <c r="D395" t="s">
        <v>199</v>
      </c>
      <c r="E395">
        <v>2</v>
      </c>
      <c r="F395">
        <v>55</v>
      </c>
      <c r="G395" t="s">
        <v>64</v>
      </c>
      <c r="H395">
        <v>31.03502404</v>
      </c>
      <c r="I395" t="str">
        <f>"-102.25581626"</f>
        <v>-102.25581626</v>
      </c>
      <c r="J395">
        <v>31.035174999999999</v>
      </c>
      <c r="K395" t="str">
        <f>"-102.25623056"</f>
        <v>-102.25623056</v>
      </c>
      <c r="L395" t="s">
        <v>200</v>
      </c>
      <c r="M395">
        <v>858354</v>
      </c>
      <c r="N395">
        <v>523592</v>
      </c>
      <c r="O395" t="s">
        <v>238</v>
      </c>
      <c r="P395" t="s">
        <v>353</v>
      </c>
      <c r="Q395">
        <v>0</v>
      </c>
      <c r="R395" t="s">
        <v>44</v>
      </c>
      <c r="S395">
        <v>293</v>
      </c>
      <c r="T395" t="s">
        <v>282</v>
      </c>
      <c r="U395">
        <v>12</v>
      </c>
      <c r="V395">
        <v>9</v>
      </c>
      <c r="W395">
        <v>1951</v>
      </c>
      <c r="X395" t="s">
        <v>184</v>
      </c>
      <c r="Y395">
        <v>329</v>
      </c>
      <c r="Z395" t="s">
        <v>254</v>
      </c>
      <c r="AI395" s="7" t="str">
        <f t="shared" si="49"/>
        <v>37140183___2</v>
      </c>
    </row>
    <row r="396" spans="1:41" s="5" customFormat="1" x14ac:dyDescent="0.35">
      <c r="A396" s="4">
        <v>37140258</v>
      </c>
      <c r="B396" s="9" t="s">
        <v>370</v>
      </c>
      <c r="C396" s="5">
        <v>8</v>
      </c>
      <c r="D396" s="5" t="s">
        <v>63</v>
      </c>
      <c r="E396" s="5">
        <v>4</v>
      </c>
      <c r="F396" s="5">
        <v>55</v>
      </c>
      <c r="G396" s="5" t="s">
        <v>64</v>
      </c>
      <c r="H396" s="5">
        <v>2959896.4553805701</v>
      </c>
      <c r="I396" s="5" t="str">
        <f>"2293560.60728346"</f>
        <v>2293560.60728346</v>
      </c>
      <c r="J396" s="5">
        <v>31.036467680000001</v>
      </c>
      <c r="K396" s="5" t="str">
        <f>"-102.26079611"</f>
        <v>-102.26079611</v>
      </c>
      <c r="L396" s="5" t="s">
        <v>65</v>
      </c>
      <c r="M396" s="5">
        <v>863743</v>
      </c>
      <c r="N396" s="5">
        <v>523592</v>
      </c>
      <c r="O396" s="5" t="s">
        <v>238</v>
      </c>
      <c r="P396" s="5" t="s">
        <v>239</v>
      </c>
      <c r="Q396" s="5">
        <v>5323</v>
      </c>
      <c r="R396" s="5" t="s">
        <v>44</v>
      </c>
      <c r="S396" s="5">
        <v>5614</v>
      </c>
      <c r="T396" s="5" t="s">
        <v>363</v>
      </c>
      <c r="U396" s="5">
        <v>12</v>
      </c>
      <c r="V396" s="5">
        <v>8</v>
      </c>
      <c r="W396" s="5">
        <v>467</v>
      </c>
      <c r="X396" s="5" t="s">
        <v>68</v>
      </c>
      <c r="Y396" s="5">
        <v>1301</v>
      </c>
      <c r="Z396" s="5" t="s">
        <v>195</v>
      </c>
      <c r="AA396" s="5" t="s">
        <v>45</v>
      </c>
      <c r="AB396" s="5" t="str">
        <f>"08"</f>
        <v>08</v>
      </c>
      <c r="AC396" s="5">
        <v>51034</v>
      </c>
      <c r="AD396" s="5">
        <v>743325</v>
      </c>
      <c r="AE396" s="5" t="s">
        <v>241</v>
      </c>
      <c r="AF396" s="5" t="s">
        <v>239</v>
      </c>
      <c r="AG396" s="5" t="s">
        <v>56</v>
      </c>
      <c r="AH396" s="5">
        <v>8</v>
      </c>
      <c r="AI396" s="7" t="str">
        <f t="shared" si="49"/>
        <v>37140258_08_8_8</v>
      </c>
      <c r="AJ396" s="5" t="s">
        <v>72</v>
      </c>
      <c r="AK396" s="5" t="s">
        <v>73</v>
      </c>
    </row>
    <row r="397" spans="1:41" x14ac:dyDescent="0.35">
      <c r="A397" s="3">
        <v>37140289</v>
      </c>
      <c r="B397" s="3" t="str">
        <f t="shared" si="50"/>
        <v>--10</v>
      </c>
      <c r="C397">
        <v>10</v>
      </c>
      <c r="D397" t="s">
        <v>199</v>
      </c>
      <c r="E397">
        <v>2</v>
      </c>
      <c r="F397">
        <v>55</v>
      </c>
      <c r="G397" t="s">
        <v>64</v>
      </c>
      <c r="H397">
        <v>31.03252676</v>
      </c>
      <c r="I397" t="str">
        <f>"-102.25791068"</f>
        <v>-102.25791068</v>
      </c>
      <c r="J397">
        <v>31.03267778</v>
      </c>
      <c r="K397" t="str">
        <f>"-102.258325"</f>
        <v>-102.258325</v>
      </c>
      <c r="L397" t="s">
        <v>200</v>
      </c>
      <c r="M397">
        <v>866677</v>
      </c>
      <c r="N397">
        <v>523592</v>
      </c>
      <c r="O397" t="s">
        <v>238</v>
      </c>
      <c r="P397" t="s">
        <v>239</v>
      </c>
      <c r="Q397">
        <v>0</v>
      </c>
      <c r="R397" t="s">
        <v>44</v>
      </c>
      <c r="S397">
        <v>5614</v>
      </c>
      <c r="T397" t="s">
        <v>240</v>
      </c>
      <c r="U397">
        <v>12</v>
      </c>
      <c r="V397">
        <v>8</v>
      </c>
      <c r="W397">
        <v>145</v>
      </c>
      <c r="X397" t="s">
        <v>195</v>
      </c>
      <c r="Y397">
        <v>2211</v>
      </c>
      <c r="Z397" t="s">
        <v>68</v>
      </c>
      <c r="AI397" s="7" t="str">
        <f t="shared" si="49"/>
        <v>37140289___10</v>
      </c>
    </row>
    <row r="398" spans="1:41" x14ac:dyDescent="0.35">
      <c r="A398" s="3">
        <v>37140290</v>
      </c>
      <c r="B398" s="3" t="str">
        <f t="shared" si="50"/>
        <v>--9</v>
      </c>
      <c r="C398">
        <v>9</v>
      </c>
      <c r="D398" t="s">
        <v>364</v>
      </c>
      <c r="E398">
        <v>9</v>
      </c>
      <c r="F398">
        <v>55</v>
      </c>
      <c r="G398" t="s">
        <v>64</v>
      </c>
      <c r="H398">
        <v>2958836.6456693001</v>
      </c>
      <c r="I398" t="str">
        <f>"2294363.7726378"</f>
        <v>2294363.7726378</v>
      </c>
      <c r="J398">
        <v>31.033593660000001</v>
      </c>
      <c r="K398" t="str">
        <f>"-102.2581577"</f>
        <v>-102.2581577</v>
      </c>
      <c r="L398" t="s">
        <v>200</v>
      </c>
      <c r="M398">
        <v>866679</v>
      </c>
      <c r="N398">
        <v>523592</v>
      </c>
      <c r="O398" t="s">
        <v>238</v>
      </c>
      <c r="P398" t="s">
        <v>239</v>
      </c>
      <c r="Q398">
        <v>0</v>
      </c>
      <c r="R398" t="s">
        <v>44</v>
      </c>
      <c r="S398">
        <v>5614</v>
      </c>
      <c r="T398" t="s">
        <v>240</v>
      </c>
      <c r="U398">
        <v>12</v>
      </c>
      <c r="V398">
        <v>8</v>
      </c>
      <c r="W398">
        <v>148</v>
      </c>
      <c r="X398" t="s">
        <v>195</v>
      </c>
      <c r="Y398">
        <v>1565</v>
      </c>
      <c r="Z398" t="s">
        <v>365</v>
      </c>
      <c r="AI398" s="7" t="str">
        <f t="shared" si="49"/>
        <v>37140290___9</v>
      </c>
    </row>
    <row r="399" spans="1:41" x14ac:dyDescent="0.35">
      <c r="A399" s="3">
        <v>37140291</v>
      </c>
      <c r="B399" s="3" t="str">
        <f t="shared" si="50"/>
        <v>--5</v>
      </c>
      <c r="C399">
        <v>5</v>
      </c>
      <c r="D399" t="s">
        <v>199</v>
      </c>
      <c r="E399">
        <v>2</v>
      </c>
      <c r="F399">
        <v>55</v>
      </c>
      <c r="G399" t="s">
        <v>64</v>
      </c>
      <c r="H399">
        <v>31.03422402</v>
      </c>
      <c r="I399" t="str">
        <f>"-102.25574961"</f>
        <v>-102.25574961</v>
      </c>
      <c r="J399">
        <v>31.034375000000001</v>
      </c>
      <c r="K399" t="str">
        <f>"-102.25616389"</f>
        <v>-102.25616389</v>
      </c>
      <c r="L399" t="s">
        <v>200</v>
      </c>
      <c r="M399">
        <v>866678</v>
      </c>
      <c r="N399">
        <v>523592</v>
      </c>
      <c r="O399" t="s">
        <v>238</v>
      </c>
      <c r="P399" t="s">
        <v>353</v>
      </c>
      <c r="Q399">
        <v>0</v>
      </c>
      <c r="R399" t="s">
        <v>44</v>
      </c>
      <c r="S399">
        <v>293</v>
      </c>
      <c r="T399" t="s">
        <v>282</v>
      </c>
      <c r="U399">
        <v>12</v>
      </c>
      <c r="V399">
        <v>9</v>
      </c>
      <c r="W399">
        <v>404</v>
      </c>
      <c r="X399" t="s">
        <v>254</v>
      </c>
      <c r="Y399">
        <v>2235</v>
      </c>
      <c r="Z399" t="s">
        <v>362</v>
      </c>
      <c r="AI399" s="7" t="str">
        <f t="shared" si="49"/>
        <v>37140291___5</v>
      </c>
    </row>
    <row r="400" spans="1:41" s="5" customFormat="1" x14ac:dyDescent="0.35">
      <c r="A400" s="4">
        <v>37140292</v>
      </c>
      <c r="B400" s="9" t="s">
        <v>371</v>
      </c>
      <c r="C400" s="5">
        <v>9</v>
      </c>
      <c r="D400" s="5" t="s">
        <v>63</v>
      </c>
      <c r="E400" s="5">
        <v>4</v>
      </c>
      <c r="F400" s="5">
        <v>55</v>
      </c>
      <c r="G400" s="5" t="s">
        <v>64</v>
      </c>
      <c r="H400" s="5">
        <v>2958557.29429133</v>
      </c>
      <c r="I400" s="5" t="str">
        <f>"2294117.51706037"</f>
        <v>2294117.51706037</v>
      </c>
      <c r="J400" s="5">
        <v>31.032810340000001</v>
      </c>
      <c r="K400" s="5" t="str">
        <f>"-102.25892716"</f>
        <v>-102.25892716</v>
      </c>
      <c r="L400" s="5" t="s">
        <v>65</v>
      </c>
      <c r="M400" s="5">
        <v>867243</v>
      </c>
      <c r="N400" s="5">
        <v>523592</v>
      </c>
      <c r="O400" s="5" t="s">
        <v>238</v>
      </c>
      <c r="P400" s="5" t="s">
        <v>239</v>
      </c>
      <c r="Q400" s="5">
        <v>5217</v>
      </c>
      <c r="R400" s="5" t="s">
        <v>44</v>
      </c>
      <c r="S400" s="5">
        <v>5614</v>
      </c>
      <c r="T400" s="5" t="s">
        <v>240</v>
      </c>
      <c r="U400" s="5">
        <v>12</v>
      </c>
      <c r="V400" s="5">
        <v>8</v>
      </c>
      <c r="W400" s="5">
        <v>332</v>
      </c>
      <c r="X400" s="5" t="s">
        <v>195</v>
      </c>
      <c r="Y400" s="5">
        <v>2085</v>
      </c>
      <c r="Z400" s="5" t="s">
        <v>68</v>
      </c>
      <c r="AA400" s="5" t="s">
        <v>45</v>
      </c>
      <c r="AB400" s="5" t="str">
        <f>"08"</f>
        <v>08</v>
      </c>
      <c r="AC400" s="5">
        <v>51034</v>
      </c>
      <c r="AD400" s="5">
        <v>743325</v>
      </c>
      <c r="AE400" s="5" t="s">
        <v>241</v>
      </c>
      <c r="AF400" s="5" t="s">
        <v>239</v>
      </c>
      <c r="AG400" s="5" t="s">
        <v>56</v>
      </c>
      <c r="AH400" s="5">
        <v>9</v>
      </c>
      <c r="AI400" s="7" t="str">
        <f t="shared" si="49"/>
        <v>37140292_08_9_9</v>
      </c>
      <c r="AJ400" s="5" t="s">
        <v>72</v>
      </c>
      <c r="AK400" s="5" t="s">
        <v>73</v>
      </c>
    </row>
    <row r="401" spans="1:37" s="5" customFormat="1" x14ac:dyDescent="0.35">
      <c r="A401" s="4">
        <v>37140313</v>
      </c>
      <c r="B401" s="9" t="s">
        <v>372</v>
      </c>
      <c r="C401" s="5">
        <v>11</v>
      </c>
      <c r="D401" s="5" t="s">
        <v>63</v>
      </c>
      <c r="E401" s="5">
        <v>4</v>
      </c>
      <c r="F401" s="5">
        <v>55</v>
      </c>
      <c r="G401" s="5" t="s">
        <v>64</v>
      </c>
      <c r="H401" s="5">
        <v>2958467.9809711301</v>
      </c>
      <c r="I401" s="5" t="str">
        <f>"2293759.70931758"</f>
        <v>2293759.70931758</v>
      </c>
      <c r="J401" s="5">
        <v>31.0325442</v>
      </c>
      <c r="K401" s="5" t="str">
        <f>"-102.26006585"</f>
        <v>-102.26006585</v>
      </c>
      <c r="L401" s="5" t="s">
        <v>65</v>
      </c>
      <c r="M401" s="5">
        <v>869281</v>
      </c>
      <c r="N401" s="5">
        <v>523592</v>
      </c>
      <c r="O401" s="5" t="s">
        <v>238</v>
      </c>
      <c r="P401" s="5" t="s">
        <v>239</v>
      </c>
      <c r="Q401" s="5">
        <v>5255</v>
      </c>
      <c r="R401" s="5" t="s">
        <v>44</v>
      </c>
      <c r="S401" s="5">
        <v>5614</v>
      </c>
      <c r="T401" s="5" t="s">
        <v>363</v>
      </c>
      <c r="U401" s="5">
        <v>12</v>
      </c>
      <c r="V401" s="5">
        <v>8</v>
      </c>
      <c r="W401" s="5">
        <v>663</v>
      </c>
      <c r="X401" s="5" t="s">
        <v>195</v>
      </c>
      <c r="Y401" s="5">
        <v>8946</v>
      </c>
      <c r="Z401" s="5" t="s">
        <v>189</v>
      </c>
      <c r="AA401" s="5" t="s">
        <v>45</v>
      </c>
      <c r="AB401" s="5" t="str">
        <f>"08"</f>
        <v>08</v>
      </c>
      <c r="AC401" s="5">
        <v>51034</v>
      </c>
      <c r="AD401" s="5">
        <v>743325</v>
      </c>
      <c r="AE401" s="5" t="s">
        <v>241</v>
      </c>
      <c r="AF401" s="5" t="s">
        <v>239</v>
      </c>
      <c r="AG401" s="5" t="s">
        <v>56</v>
      </c>
      <c r="AH401" s="5">
        <v>11</v>
      </c>
      <c r="AI401" s="7" t="str">
        <f>A401&amp;"_"&amp;AB401&amp;"_"&amp;AH401&amp;"_"&amp;C401</f>
        <v>37140313_08_11_11</v>
      </c>
      <c r="AJ401" s="5" t="s">
        <v>72</v>
      </c>
      <c r="AK401" s="5" t="s">
        <v>73</v>
      </c>
    </row>
  </sheetData>
  <phoneticPr fontId="19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464DF-9C06-46D2-9215-AFFF9C8DD2FA}">
  <dimension ref="A1"/>
  <sheetViews>
    <sheetView topLeftCell="A149" workbookViewId="0">
      <selection activeCell="T165" sqref="T165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2.5 Miles Radius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Nayoan</dc:creator>
  <cp:lastModifiedBy>Guowei Xia</cp:lastModifiedBy>
  <dcterms:created xsi:type="dcterms:W3CDTF">2026-06-25T16:40:52Z</dcterms:created>
  <dcterms:modified xsi:type="dcterms:W3CDTF">2026-06-27T06:01:25Z</dcterms:modified>
</cp:coreProperties>
</file>